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0455150a0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COST" sheetId="1" r:id="R4d1a80dd94f04e15"/>
    <x:sheet xmlns:r="http://schemas.openxmlformats.org/officeDocument/2006/relationships" name="מחירון רכיבים" sheetId="2" r:id="R08bc360f64f5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₪#,##0.00"/>
    <x:numFmt numFmtId="165" formatCode="₪#,##0"/>
    <x:numFmt numFmtId="200" formatCode="0.00"/>
    <x:numFmt numFmtId="201" formatCode="0"/>
    <x:numFmt numFmtId="202" formatCode="0%"/>
  </x:numFmts>
  <x:fonts count="8">
    <x:font>
      <x:sz val="11"/>
      <x:color theme="1"/>
      <x:name val="Calibri"/>
    </x:font>
    <x:font>
      <x:b/>
      <x:sz val="16"/>
      <x:color rgb="FF0F3D3E"/>
      <x:name val="Arial"/>
    </x:font>
    <x:font>
      <x:sz val="10"/>
      <x:color rgb="FF52606D"/>
      <x:name val="Arial"/>
    </x:font>
    <x:font>
      <x:b/>
      <x:sz val="11"/>
      <x:color rgb="FFFFFFFF"/>
      <x:name val="Arial"/>
    </x:font>
    <x:font>
      <x:sz val="11"/>
      <x:color rgb="FF1F2933"/>
      <x:name val="Arial"/>
    </x:font>
    <x:font>
      <x:b/>
      <x:sz val="11"/>
      <x:color rgb="FF0F3D3E"/>
      <x:name val="Arial"/>
    </x:font>
    <x:font>
      <x:b/>
      <x:sz val="14"/>
      <x:color rgb="FF0F3D3E"/>
      <x:name val="Arial"/>
    </x:font>
    <x:font>
      <x:sz val="10"/>
      <x:color rgb="FF173F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3D3E"/>
      </x:patternFill>
    </x:fill>
    <x:fill>
      <x:patternFill patternType="solid">
        <x:fgColor rgb="FFF4F7F6"/>
      </x:patternFill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1" xfId="0" applyAlignment="1">
      <x:alignment horizontal="center"/>
    </x:xf>
    <x:xf numFmtId="0" fontId="4" fillId="0" borderId="1" xfId="0" applyAlignment="1">
      <x:alignment horizontal="right"/>
    </x:xf>
    <x:xf numFmtId="164" fontId="4" fillId="0" borderId="1" xfId="0" applyAlignment="1">
      <x:alignment horizontal="center"/>
    </x:xf>
    <x:xf numFmtId="165" fontId="4" fillId="0" borderId="1" xfId="0" applyAlignment="1">
      <x:alignment horizontal="center"/>
    </x:xf>
    <x:xf numFmtId="9" fontId="4" fillId="0" borderId="1" xfId="0" applyAlignment="1">
      <x:alignment horizontal="center"/>
    </x:xf>
    <x:xf numFmtId="0" fontId="4" fillId="3" borderId="1" xfId="0" applyAlignment="1">
      <x:alignment horizontal="center"/>
    </x:xf>
    <x:xf numFmtId="0" fontId="4" fillId="3" borderId="1" xfId="0" applyAlignment="1">
      <x:alignment horizontal="right"/>
    </x:xf>
    <x:xf numFmtId="164" fontId="4" fillId="3" borderId="1" xfId="0" applyAlignment="1">
      <x:alignment horizontal="center"/>
    </x:xf>
    <x:xf numFmtId="165" fontId="4" fillId="3" borderId="1" xfId="0" applyAlignment="1">
      <x:alignment horizontal="center"/>
    </x:xf>
    <x:xf numFmtId="9" fontId="4" fillId="3" borderId="1" xfId="0" applyAlignment="1">
      <x:alignment horizontal="center"/>
    </x:xf>
    <x:xf numFmtId="0" fontId="5" fillId="0" borderId="0" xfId="0"/>
    <x:xf numFmtId="164" fontId="5" fillId="0" borderId="1" xfId="0"/>
    <x:xf numFmtId="9" fontId="5" fillId="0" borderId="1" xfId="0"/>
    <x:xf numFmtId="0" fontId="6" fillId="0" borderId="0" xfId="0"/>
    <x:xf numFmtId="0" fontId="3" fillId="2" borderId="1" xfId="0" applyAlignment="1">
      <x:alignment horizontal="center"/>
    </x:xf>
    <x:xf numFmtId="200" fontId="4" fillId="0" borderId="1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/>
    </x:xf>
    <x:xf numFmtId="201" fontId="4" fillId="0" borderId="1" xfId="0" applyNumberFormat="1" applyFont="1" applyFill="1" applyBorder="1" applyAlignment="1">
      <x:alignment horizontal="center"/>
    </x:xf>
    <x:xf numFmtId="201" fontId="4" fillId="3" borderId="1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/>
    </x:xf>
    <x:xf numFmtId="202" fontId="4" fillId="3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72e2a7dca410a" /><Relationship Type="http://schemas.openxmlformats.org/officeDocument/2006/relationships/theme" Target="/xl/theme/theme1.xml" Id="R0c2d396a48e14da5" /><Relationship Type="http://schemas.openxmlformats.org/officeDocument/2006/relationships/sharedStrings" Target="/xl/sharedStrings.xml" Id="R9f7f032d93d34118" /><Relationship Type="http://schemas.openxmlformats.org/officeDocument/2006/relationships/worksheet" Target="/xl/worksheets/sheet1.xml" Id="R4d1a80dd94f04e15" /><Relationship Type="http://schemas.openxmlformats.org/officeDocument/2006/relationships/worksheet" Target="/xl/worksheets/sheet2.xml" Id="R08bc360f64f546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5" customWidth="1"/>
    <x:col min="2" max="2" width="26" customWidth="1"/>
    <x:col min="3" max="3" width="30" customWidth="1"/>
    <x:col min="4" max="4" width="15" customWidth="1"/>
    <x:col min="5" max="5" width="15" customWidth="1"/>
    <x:col min="6" max="6" width="15" customWidth="1"/>
    <x:col min="7" max="7" width="13" customWidth="1"/>
    <x:col min="8" max="8" width="10" customWidth="1"/>
    <x:col min="9" max="9" width="60" customWidth="1"/>
  </x:cols>
  <x:sheetData>
    <x:row r="1">
      <x:c r="A1" s="1" t="inlineStr">
        <x:is>
          <x:t xml:space="preserve">GT Everyday · FOOD COST ומחירים מומלצים</x:t>
        </x:is>
      </x:c>
    </x:row>
    <x:row r="2">
      <x:c r="A2" s="2" t="str">
        <x:v>48 משקאות · אומדן מרכיבי מזיגה בכוס 350 מ״ל מלאה בקרח · 2026-09-29 · מע״מ 18% · FOOD COST ללא מע״מ</x:v>
      </x:c>
    </x:row>
    <x:row r="3">
      <x:c r="A3" s="2" t="str">
        <x:v>רווח = מחיר/1.18 פחות עלות רכיבים · ״⅔״ בהוראות = מפלס לאחר קרח · חלב ושמנת לפי מחיר ייחוס, כפוף לרכש ולמדידת מזיגה בפועל</x:v>
      </x:c>
    </x:row>
    <x:row r="5" ht="34" customHeight="1">
      <x:c r="A5" s="3" t="inlineStr">
        <x:is>
          <x:t xml:space="preserve">#</x:t>
        </x:is>
      </x:c>
      <x:c r="B5" s="3" t="inlineStr">
        <x:is>
          <x:t xml:space="preserve">משפחה</x:t>
        </x:is>
      </x:c>
      <x:c r="C5" s="3" t="inlineStr">
        <x:is>
          <x:t xml:space="preserve">משקה</x:t>
        </x:is>
      </x:c>
      <x:c r="D5" s="3" t="inlineStr">
        <x:is>
          <x:t xml:space="preserve">FOOD COST
ללא מע״מ</x:t>
        </x:is>
      </x:c>
      <x:c r="E5" s="3" t="inlineStr">
        <x:is>
          <x:t xml:space="preserve">מחיר מומלץ
כולל מע״מ</x:t>
        </x:is>
      </x:c>
      <x:c r="F5" s="3" t="inlineStr">
        <x:is>
          <x:t xml:space="preserve">מחיר ללא מע״מ</x:t>
        </x:is>
      </x:c>
      <x:c r="G5" s="3" t="inlineStr">
        <x:is>
          <x:t xml:space="preserve">רווח לכוס</x:t>
        </x:is>
      </x:c>
      <x:c r="H5" s="3" t="inlineStr">
        <x:is>
          <x:t xml:space="preserve">מרווח %</x:t>
        </x:is>
      </x:c>
      <x:c r="I5" s="3" t="inlineStr">
        <x:is>
          <x:t xml:space="preserve">פירוט עלות</x:t>
        </x:is>
      </x:c>
    </x:row>
    <x:row r="6">
      <x:c r="A6" s="4" t="n">
        <x:v>1</x:v>
      </x:c>
      <x:c r="B6" s="5" t="inlineStr">
        <x:is>
          <x:t xml:space="preserve">חליטות קרות · Iced Tea</x:t>
        </x:is>
      </x:c>
      <x:c r="C6" s="5" t="inlineStr">
        <x:is>
          <x:t xml:space="preserve">חליטת היביסקוס וליים</x:t>
        </x:is>
      </x:c>
      <x:c r="D6" s="19" t="n">
        <x:v>3.25</x:v>
      </x:c>
      <x:c r="E6" s="21" t="n">
        <x:v>20</x:v>
      </x:c>
      <x:c r="F6" s="19" t="n">
        <x:f>E6/1.18</x:f>
        <x:v>16.949152542372882</x:v>
      </x:c>
      <x:c r="G6" s="19" t="n">
        <x:f>F6-D6</x:f>
        <x:v>13.699152542372882</x:v>
      </x:c>
      <x:c r="H6" s="23" t="n">
        <x:f>G6/F6</x:f>
        <x:v>0.80825</x:v>
      </x:c>
      <x:c r="I6" s="5" t="str">
        <x:v>50 מ"ל GT ₪3.25</x:v>
      </x:c>
    </x:row>
    <x:row r="7">
      <x:c r="A7" s="9" t="n">
        <x:v>2</x:v>
      </x:c>
      <x:c r="B7" s="10" t="inlineStr">
        <x:is>
          <x:t xml:space="preserve">חליטות קרות · Iced Tea</x:t>
        </x:is>
      </x:c>
      <x:c r="C7" s="10" t="inlineStr">
        <x:is>
          <x:t xml:space="preserve">חליטת קמומיל ותפוח</x:t>
        </x:is>
      </x:c>
      <x:c r="D7" s="20" t="n">
        <x:v>3.25</x:v>
      </x:c>
      <x:c r="E7" s="22" t="n">
        <x:v>20</x:v>
      </x:c>
      <x:c r="F7" s="20" t="n">
        <x:f>E7/1.18</x:f>
        <x:v>16.949152542372882</x:v>
      </x:c>
      <x:c r="G7" s="20" t="n">
        <x:f>F7-D7</x:f>
        <x:v>13.699152542372882</x:v>
      </x:c>
      <x:c r="H7" s="24" t="n">
        <x:f>G7/F7</x:f>
        <x:v>0.80825</x:v>
      </x:c>
      <x:c r="I7" s="10" t="str">
        <x:v>50 מ"ל GT ₪3.25</x:v>
      </x:c>
    </x:row>
    <x:row r="8">
      <x:c r="A8" s="4" t="n">
        <x:v>3</x:v>
      </x:c>
      <x:c r="B8" s="5" t="inlineStr">
        <x:is>
          <x:t xml:space="preserve">חליטות קרות · Iced Tea</x:t>
        </x:is>
      </x:c>
      <x:c r="C8" s="5" t="inlineStr">
        <x:is>
          <x:t xml:space="preserve">חליטה מדברית</x:t>
        </x:is>
      </x:c>
      <x:c r="D8" s="19" t="n">
        <x:v>3.25</x:v>
      </x:c>
      <x:c r="E8" s="21" t="n">
        <x:v>20</x:v>
      </x:c>
      <x:c r="F8" s="19" t="n">
        <x:f>E8/1.18</x:f>
        <x:v>16.949152542372882</x:v>
      </x:c>
      <x:c r="G8" s="19" t="n">
        <x:f>F8-D8</x:f>
        <x:v>13.699152542372882</x:v>
      </x:c>
      <x:c r="H8" s="23" t="n">
        <x:f>G8/F8</x:f>
        <x:v>0.80825</x:v>
      </x:c>
      <x:c r="I8" s="5" t="str">
        <x:v>50 מ"ל GT ₪3.25</x:v>
      </x:c>
    </x:row>
    <x:row r="9">
      <x:c r="A9" s="9" t="n">
        <x:v>4</x:v>
      </x:c>
      <x:c r="B9" s="10" t="inlineStr">
        <x:is>
          <x:t xml:space="preserve">חליטות קרות · Iced Tea</x:t>
        </x:is>
      </x:c>
      <x:c r="C9" s="10" t="inlineStr">
        <x:is>
          <x:t xml:space="preserve">חליטת סנצ'ה ופסיפלורה</x:t>
        </x:is>
      </x:c>
      <x:c r="D9" s="20" t="n">
        <x:v>3.25</x:v>
      </x:c>
      <x:c r="E9" s="22" t="n">
        <x:v>20</x:v>
      </x:c>
      <x:c r="F9" s="20" t="n">
        <x:f>E9/1.18</x:f>
        <x:v>16.949152542372882</x:v>
      </x:c>
      <x:c r="G9" s="20" t="n">
        <x:f>F9-D9</x:f>
        <x:v>13.699152542372882</x:v>
      </x:c>
      <x:c r="H9" s="24" t="n">
        <x:f>G9/F9</x:f>
        <x:v>0.80825</x:v>
      </x:c>
      <x:c r="I9" s="10" t="str">
        <x:v>50 מ"ל GT ₪3.25</x:v>
      </x:c>
    </x:row>
    <x:row r="10">
      <x:c r="A10" s="4" t="n">
        <x:v>5</x:v>
      </x:c>
      <x:c r="B10" s="5" t="inlineStr">
        <x:is>
          <x:t xml:space="preserve">חליטות קרות · Iced Tea</x:t>
        </x:is>
      </x:c>
      <x:c r="C10" s="5" t="inlineStr">
        <x:is>
          <x:t xml:space="preserve">חליטת תה ירוק וליים</x:t>
        </x:is>
      </x:c>
      <x:c r="D10" s="19" t="n">
        <x:v>3.25</x:v>
      </x:c>
      <x:c r="E10" s="21" t="n">
        <x:v>20</x:v>
      </x:c>
      <x:c r="F10" s="19" t="n">
        <x:f>E10/1.18</x:f>
        <x:v>16.949152542372882</x:v>
      </x:c>
      <x:c r="G10" s="19" t="n">
        <x:f>F10-D10</x:f>
        <x:v>13.699152542372882</x:v>
      </x:c>
      <x:c r="H10" s="23" t="n">
        <x:f>G10/F10</x:f>
        <x:v>0.80825</x:v>
      </x:c>
      <x:c r="I10" s="5" t="str">
        <x:v>50 מ"ל GT ₪3.25</x:v>
      </x:c>
    </x:row>
    <x:row r="11">
      <x:c r="A11" s="9" t="n">
        <x:v>6</x:v>
      </x:c>
      <x:c r="B11" s="10" t="inlineStr">
        <x:is>
          <x:t xml:space="preserve">חליטות קרות · Iced Tea</x:t>
        </x:is>
      </x:c>
      <x:c r="C11" s="10" t="inlineStr">
        <x:is>
          <x:t xml:space="preserve">חליטת תה ירוק ולמון גראס</x:t>
        </x:is>
      </x:c>
      <x:c r="D11" s="20" t="n">
        <x:v>3.25</x:v>
      </x:c>
      <x:c r="E11" s="22" t="n">
        <x:v>20</x:v>
      </x:c>
      <x:c r="F11" s="20" t="n">
        <x:f>E11/1.18</x:f>
        <x:v>16.949152542372882</x:v>
      </x:c>
      <x:c r="G11" s="20" t="n">
        <x:f>F11-D11</x:f>
        <x:v>13.699152542372882</x:v>
      </x:c>
      <x:c r="H11" s="24" t="n">
        <x:f>G11/F11</x:f>
        <x:v>0.80825</x:v>
      </x:c>
      <x:c r="I11" s="10" t="str">
        <x:v>50 מ"ל GT ₪3.25</x:v>
      </x:c>
    </x:row>
    <x:row r="12">
      <x:c r="A12" s="4" t="n">
        <x:v>7</x:v>
      </x:c>
      <x:c r="B12" s="5" t="inlineStr">
        <x:is>
          <x:t xml:space="preserve">חליטות קרות · Iced Tea</x:t>
        </x:is>
      </x:c>
      <x:c r="C12" s="5" t="inlineStr">
        <x:is>
          <x:t xml:space="preserve">חליטת יסמין וליצ'י</x:t>
        </x:is>
      </x:c>
      <x:c r="D12" s="19" t="n">
        <x:v>3.25</x:v>
      </x:c>
      <x:c r="E12" s="21" t="n">
        <x:v>20</x:v>
      </x:c>
      <x:c r="F12" s="19" t="n">
        <x:f>E12/1.18</x:f>
        <x:v>16.949152542372882</x:v>
      </x:c>
      <x:c r="G12" s="19" t="n">
        <x:f>F12-D12</x:f>
        <x:v>13.699152542372882</x:v>
      </x:c>
      <x:c r="H12" s="23" t="n">
        <x:f>G12/F12</x:f>
        <x:v>0.80825</x:v>
      </x:c>
      <x:c r="I12" s="5" t="str">
        <x:v>50 מ"ל GT ₪3.25</x:v>
      </x:c>
    </x:row>
    <x:row r="13">
      <x:c r="A13" s="9" t="n">
        <x:v>8</x:v>
      </x:c>
      <x:c r="B13" s="10" t="inlineStr">
        <x:is>
          <x:t xml:space="preserve">לימונדות · Lemonade</x:t>
        </x:is>
      </x:c>
      <x:c r="C13" s="10" t="inlineStr">
        <x:is>
          <x:t xml:space="preserve">לימונדת היביסקוס וליים</x:t>
        </x:is>
      </x:c>
      <x:c r="D13" s="20" t="n">
        <x:v>3.69</x:v>
      </x:c>
      <x:c r="E13" s="22" t="n">
        <x:v>20</x:v>
      </x:c>
      <x:c r="F13" s="20" t="n">
        <x:f>E13/1.18</x:f>
        <x:v>16.949152542372882</x:v>
      </x:c>
      <x:c r="G13" s="20" t="n">
        <x:f>F13-D13</x:f>
        <x:v>13.259152542372883</x:v>
      </x:c>
      <x:c r="H13" s="24" t="n">
        <x:f>G13/F13</x:f>
        <x:v>0.78229</x:v>
      </x:c>
      <x:c r="I13" s="10" t="str">
        <x:v>50 מ"ל GT ₪3.25 · 145 מ"ל לימונדה ₪0.43</x:v>
      </x:c>
    </x:row>
    <x:row r="14">
      <x:c r="A14" s="4" t="n">
        <x:v>9</x:v>
      </x:c>
      <x:c r="B14" s="5" t="inlineStr">
        <x:is>
          <x:t xml:space="preserve">לימונדות · Lemonade</x:t>
        </x:is>
      </x:c>
      <x:c r="C14" s="5" t="inlineStr">
        <x:is>
          <x:t xml:space="preserve">לימונדה מדברית</x:t>
        </x:is>
      </x:c>
      <x:c r="D14" s="19" t="n">
        <x:v>3.69</x:v>
      </x:c>
      <x:c r="E14" s="21" t="n">
        <x:v>20</x:v>
      </x:c>
      <x:c r="F14" s="19" t="n">
        <x:f>E14/1.18</x:f>
        <x:v>16.949152542372882</x:v>
      </x:c>
      <x:c r="G14" s="19" t="n">
        <x:f>F14-D14</x:f>
        <x:v>13.259152542372883</x:v>
      </x:c>
      <x:c r="H14" s="23" t="n">
        <x:f>G14/F14</x:f>
        <x:v>0.78229</x:v>
      </x:c>
      <x:c r="I14" s="5" t="str">
        <x:v>50 מ"ל GT ₪3.25 · 145 מ"ל לימונדה ₪0.43</x:v>
      </x:c>
    </x:row>
    <x:row r="15">
      <x:c r="A15" s="9" t="n">
        <x:v>10</x:v>
      </x:c>
      <x:c r="B15" s="10" t="inlineStr">
        <x:is>
          <x:t xml:space="preserve">לימונדות · Lemonade</x:t>
        </x:is>
      </x:c>
      <x:c r="C15" s="10" t="inlineStr">
        <x:is>
          <x:t xml:space="preserve">לימונדת צ'אי מסאלה</x:t>
        </x:is>
      </x:c>
      <x:c r="D15" s="20" t="n">
        <x:v>3.69</x:v>
      </x:c>
      <x:c r="E15" s="22" t="n">
        <x:v>20</x:v>
      </x:c>
      <x:c r="F15" s="20" t="n">
        <x:f>E15/1.18</x:f>
        <x:v>16.949152542372882</x:v>
      </x:c>
      <x:c r="G15" s="20" t="n">
        <x:f>F15-D15</x:f>
        <x:v>13.259152542372883</x:v>
      </x:c>
      <x:c r="H15" s="24" t="n">
        <x:f>G15/F15</x:f>
        <x:v>0.78229</x:v>
      </x:c>
      <x:c r="I15" s="10" t="str">
        <x:v>50 מ"ל GT ₪3.25 · 145 מ"ל לימונדה ₪0.43</x:v>
      </x:c>
    </x:row>
    <x:row r="16">
      <x:c r="A16" s="4" t="n">
        <x:v>11</x:v>
      </x:c>
      <x:c r="B16" s="5" t="inlineStr">
        <x:is>
          <x:t xml:space="preserve">חליטות תה · Fruitea</x:t>
        </x:is>
      </x:c>
      <x:c r="C16" s="5" t="inlineStr">
        <x:is>
          <x:t xml:space="preserve">חליטת אפרסק מדברית</x:t>
        </x:is>
      </x:c>
      <x:c r="D16" s="19" t="n">
        <x:v>5</x:v>
      </x:c>
      <x:c r="E16" s="21" t="n">
        <x:v>27</x:v>
      </x:c>
      <x:c r="F16" s="19" t="n">
        <x:f>E16/1.18</x:f>
        <x:v>22.88135593220339</x:v>
      </x:c>
      <x:c r="G16" s="19" t="n">
        <x:f>F16-D16</x:f>
        <x:v>17.88135593220339</x:v>
      </x:c>
      <x:c r="H16" s="23" t="n">
        <x:f>G16/F16</x:f>
        <x:v>0.7814814814814814</x:v>
      </x:c>
      <x:c r="I16" s="5" t="str">
        <x:v>40 מ"ל GT ₪2.60 · 40 מ"ל מחית אפרסק ₪2.40</x:v>
      </x:c>
    </x:row>
    <x:row r="17">
      <x:c r="A17" s="9" t="n">
        <x:v>12</x:v>
      </x:c>
      <x:c r="B17" s="10" t="inlineStr">
        <x:is>
          <x:t xml:space="preserve">חליטות תה · Fruitea</x:t>
        </x:is>
      </x:c>
      <x:c r="C17" s="10" t="inlineStr">
        <x:is>
          <x:t xml:space="preserve">חליטת תות לואיזה</x:t>
        </x:is>
      </x:c>
      <x:c r="D17" s="20" t="n">
        <x:v>5</x:v>
      </x:c>
      <x:c r="E17" s="22" t="n">
        <x:v>27</x:v>
      </x:c>
      <x:c r="F17" s="20" t="n">
        <x:f>E17/1.18</x:f>
        <x:v>22.88135593220339</x:v>
      </x:c>
      <x:c r="G17" s="20" t="n">
        <x:f>F17-D17</x:f>
        <x:v>17.88135593220339</x:v>
      </x:c>
      <x:c r="H17" s="24" t="n">
        <x:f>G17/F17</x:f>
        <x:v>0.7814814814814814</x:v>
      </x:c>
      <x:c r="I17" s="10" t="str">
        <x:v>40 מ"ל GT ₪2.60 · 40 מ"ל מחית תות ₪2.40</x:v>
      </x:c>
    </x:row>
    <x:row r="18">
      <x:c r="A18" s="4" t="n">
        <x:v>13</x:v>
      </x:c>
      <x:c r="B18" s="5" t="inlineStr">
        <x:is>
          <x:t xml:space="preserve">חליטות תה · Fruitea</x:t>
        </x:is>
      </x:c>
      <x:c r="C18" s="5" t="inlineStr">
        <x:is>
          <x:t xml:space="preserve">חליטת מנגו סנצ'ה</x:t>
        </x:is>
      </x:c>
      <x:c r="D18" s="19" t="n">
        <x:v>5</x:v>
      </x:c>
      <x:c r="E18" s="21" t="n">
        <x:v>27</x:v>
      </x:c>
      <x:c r="F18" s="19" t="n">
        <x:f>E18/1.18</x:f>
        <x:v>22.88135593220339</x:v>
      </x:c>
      <x:c r="G18" s="19" t="n">
        <x:f>F18-D18</x:f>
        <x:v>17.88135593220339</x:v>
      </x:c>
      <x:c r="H18" s="23" t="n">
        <x:f>G18/F18</x:f>
        <x:v>0.7814814814814814</x:v>
      </x:c>
      <x:c r="I18" s="5" t="str">
        <x:v>40 מ"ל GT ₪2.60 · 40 מ"ל מנגו ₪2.40</x:v>
      </x:c>
    </x:row>
    <x:row r="19">
      <x:c r="A19" s="9" t="n">
        <x:v>14</x:v>
      </x:c>
      <x:c r="B19" s="10" t="inlineStr">
        <x:is>
          <x:t xml:space="preserve">חליטות תה · Fruitea</x:t>
        </x:is>
      </x:c>
      <x:c r="C19" s="10" t="inlineStr">
        <x:is>
          <x:t xml:space="preserve">חליטת תפוח היביסקוס</x:t>
        </x:is>
      </x:c>
      <x:c r="D19" s="20" t="n">
        <x:v>2.88</x:v>
      </x:c>
      <x:c r="E19" s="22" t="n">
        <x:v>24</x:v>
      </x:c>
      <x:c r="F19" s="20" t="n">
        <x:f>E19/1.18</x:f>
        <x:v>20.33898305084746</x:v>
      </x:c>
      <x:c r="G19" s="20" t="n">
        <x:f>F19-D19</x:f>
        <x:v>17.45898305084746</x:v>
      </x:c>
      <x:c r="H19" s="24" t="n">
        <x:f>G19/F19</x:f>
        <x:v>0.8584</x:v>
      </x:c>
      <x:c r="I19" s="10" t="str">
        <x:v>40 מ"ל GT ₪2.60 · 40 מ"ל מיץ תפוחים ₪0.28</x:v>
      </x:c>
    </x:row>
    <x:row r="20">
      <x:c r="A20" s="4" t="n">
        <x:v>15</x:v>
      </x:c>
      <x:c r="B20" s="5" t="inlineStr">
        <x:is>
          <x:t xml:space="preserve">גזוז · Gazoz</x:t>
        </x:is>
      </x:c>
      <x:c r="C20" s="5" t="inlineStr">
        <x:is>
          <x:t xml:space="preserve">גזוז יסמין וליצ'י</x:t>
        </x:is>
      </x:c>
      <x:c r="D20" s="19" t="n">
        <x:v>3.08</x:v>
      </x:c>
      <x:c r="E20" s="21" t="n">
        <x:v>25</x:v>
      </x:c>
      <x:c r="F20" s="19" t="n">
        <x:f>E20/1.18</x:f>
        <x:v>21.186440677966104</x:v>
      </x:c>
      <x:c r="G20" s="19" t="n">
        <x:f>F20-D20</x:f>
        <x:v>18.106440677966106</x:v>
      </x:c>
      <x:c r="H20" s="23" t="n">
        <x:f>G20/F20</x:f>
        <x:v>0.854624</x:v>
      </x:c>
      <x:c r="I20" s="5" t="str">
        <x:v>40 מ"ל GT ₪2.60 · 40 מ"ל מי ליצ'י ₪0.48</x:v>
      </x:c>
    </x:row>
    <x:row r="21">
      <x:c r="A21" s="9" t="n">
        <x:v>16</x:v>
      </x:c>
      <x:c r="B21" s="10" t="inlineStr">
        <x:is>
          <x:t xml:space="preserve">גזוז · Gazoz</x:t>
        </x:is>
      </x:c>
      <x:c r="C21" s="10" t="inlineStr">
        <x:is>
          <x:t xml:space="preserve">גזוז מדברי ואפרסק</x:t>
        </x:is>
      </x:c>
      <x:c r="D21" s="20" t="n">
        <x:v>5</x:v>
      </x:c>
      <x:c r="E21" s="22" t="n">
        <x:v>27</x:v>
      </x:c>
      <x:c r="F21" s="20" t="n">
        <x:f>E21/1.18</x:f>
        <x:v>22.88135593220339</x:v>
      </x:c>
      <x:c r="G21" s="20" t="n">
        <x:f>F21-D21</x:f>
        <x:v>17.88135593220339</x:v>
      </x:c>
      <x:c r="H21" s="24" t="n">
        <x:f>G21/F21</x:f>
        <x:v>0.7814814814814814</x:v>
      </x:c>
      <x:c r="I21" s="10" t="str">
        <x:v>40 מ"ל GT ₪2.60 · 40 מ"ל מחית אפרסק ₪2.40</x:v>
      </x:c>
    </x:row>
    <x:row r="22">
      <x:c r="A22" s="4" t="n">
        <x:v>17</x:v>
      </x:c>
      <x:c r="B22" s="5" t="inlineStr">
        <x:is>
          <x:t xml:space="preserve">גזוז · Gazoz</x:t>
        </x:is>
      </x:c>
      <x:c r="C22" s="5" t="inlineStr">
        <x:is>
          <x:t xml:space="preserve">גזוז היביסקוס ותפוח</x:t>
        </x:is>
      </x:c>
      <x:c r="D22" s="19" t="n">
        <x:v>2.88</x:v>
      </x:c>
      <x:c r="E22" s="21" t="n">
        <x:v>22</x:v>
      </x:c>
      <x:c r="F22" s="19" t="n">
        <x:f>E22/1.18</x:f>
        <x:v>18.64406779661017</x:v>
      </x:c>
      <x:c r="G22" s="19" t="n">
        <x:f>F22-D22</x:f>
        <x:v>15.76406779661017</x:v>
      </x:c>
      <x:c r="H22" s="23" t="n">
        <x:f>G22/F22</x:f>
        <x:v>0.8455272727272728</x:v>
      </x:c>
      <x:c r="I22" s="5" t="str">
        <x:v>40 מ"ל GT ₪2.60 · 40 מ"ל מיץ תפוחים ₪0.28</x:v>
      </x:c>
    </x:row>
    <x:row r="23">
      <x:c r="A23" s="9" t="n">
        <x:v>18</x:v>
      </x:c>
      <x:c r="B23" s="10" t="inlineStr">
        <x:is>
          <x:t xml:space="preserve">אייס מאצ'ה · Ice Matcha</x:t>
        </x:is>
      </x:c>
      <x:c r="C23" s="10" t="inlineStr">
        <x:is>
          <x:t xml:space="preserve">אייס מאצ'ה קלאסי</x:t>
        </x:is>
      </x:c>
      <x:c r="D23" s="20" t="n">
        <x:v>3.35</x:v>
      </x:c>
      <x:c r="E23" s="22" t="n">
        <x:v>26</x:v>
      </x:c>
      <x:c r="F23" s="20" t="n">
        <x:f>E23/1.18</x:f>
        <x:v>22.033898305084747</x:v>
      </x:c>
      <x:c r="G23" s="20" t="n">
        <x:f>F23-D23</x:f>
        <x:v>18.683898305084746</x:v>
      </x:c>
      <x:c r="H23" s="24" t="n">
        <x:f>G23/F23</x:f>
        <x:v>0.8479615384615384</x:v>
      </x:c>
      <x:c r="I23" s="10" t="str">
        <x:v>מאצ'ה 1.8 גר' ₪2.12 · 145 מ"ל חלב ₪0.79 · 70 מ"ל קצף חלבי ₪0.44</x:v>
      </x:c>
    </x:row>
    <x:row r="24">
      <x:c r="A24" s="4" t="n">
        <x:v>19</x:v>
      </x:c>
      <x:c r="B24" s="5" t="inlineStr">
        <x:is>
          <x:t xml:space="preserve">אייס מאצ'ה · Ice Matcha</x:t>
        </x:is>
      </x:c>
      <x:c r="C24" s="5" t="inlineStr">
        <x:is>
          <x:t xml:space="preserve">אייס מאצ'ה מנגו</x:t>
        </x:is>
      </x:c>
      <x:c r="D24" s="19" t="n">
        <x:v>5.75</x:v>
      </x:c>
      <x:c r="E24" s="21" t="n">
        <x:v>31</x:v>
      </x:c>
      <x:c r="F24" s="19" t="n">
        <x:f>E24/1.18</x:f>
        <x:v>26.27118644067797</x:v>
      </x:c>
      <x:c r="G24" s="19" t="n">
        <x:f>F24-D24</x:f>
        <x:v>20.52118644067797</x:v>
      </x:c>
      <x:c r="H24" s="23" t="n">
        <x:f>G24/F24</x:f>
        <x:v>0.7811290322580645</x:v>
      </x:c>
      <x:c r="I24" s="5" t="str">
        <x:v>מאצ'ה 1.8 גר' ₪2.12 · 145 מ"ל חלב ₪0.79 · 70 מ"ל קצף חלבי ₪0.44 · 40 מ"ל מנגו ₪2.40</x:v>
      </x:c>
    </x:row>
    <x:row r="25">
      <x:c r="A25" s="9" t="n">
        <x:v>20</x:v>
      </x:c>
      <x:c r="B25" s="10" t="inlineStr">
        <x:is>
          <x:t xml:space="preserve">אייס מאצ'ה · Ice Matcha</x:t>
        </x:is>
      </x:c>
      <x:c r="C25" s="10" t="inlineStr">
        <x:is>
          <x:t xml:space="preserve">אייס מאצ'ה תות</x:t>
        </x:is>
      </x:c>
      <x:c r="D25" s="20" t="n">
        <x:v>5.75</x:v>
      </x:c>
      <x:c r="E25" s="22" t="n">
        <x:v>31</x:v>
      </x:c>
      <x:c r="F25" s="20" t="n">
        <x:f>E25/1.18</x:f>
        <x:v>26.27118644067797</x:v>
      </x:c>
      <x:c r="G25" s="20" t="n">
        <x:f>F25-D25</x:f>
        <x:v>20.52118644067797</x:v>
      </x:c>
      <x:c r="H25" s="24" t="n">
        <x:f>G25/F25</x:f>
        <x:v>0.7811290322580645</x:v>
      </x:c>
      <x:c r="I25" s="10" t="str">
        <x:v>מאצ'ה 1.8 גר' ₪2.12 · 145 מ"ל חלב ₪0.79 · 70 מ"ל קצף חלבי ₪0.44 · 40 מ"ל מחית תות ₪2.40</x:v>
      </x:c>
    </x:row>
    <x:row r="26">
      <x:c r="A26" s="4" t="n">
        <x:v>21</x:v>
      </x:c>
      <x:c r="B26" s="5" t="inlineStr">
        <x:is>
          <x:t xml:space="preserve">אייס מאצ'ה · Ice Matcha</x:t>
        </x:is>
      </x:c>
      <x:c r="C26" s="5" t="inlineStr">
        <x:is>
          <x:t xml:space="preserve">אייס מאצ'ה אפרסק</x:t>
        </x:is>
      </x:c>
      <x:c r="D26" s="19" t="n">
        <x:v>5.75</x:v>
      </x:c>
      <x:c r="E26" s="21" t="n">
        <x:v>31</x:v>
      </x:c>
      <x:c r="F26" s="19" t="n">
        <x:f>E26/1.18</x:f>
        <x:v>26.27118644067797</x:v>
      </x:c>
      <x:c r="G26" s="19" t="n">
        <x:f>F26-D26</x:f>
        <x:v>20.52118644067797</x:v>
      </x:c>
      <x:c r="H26" s="23" t="n">
        <x:f>G26/F26</x:f>
        <x:v>0.7811290322580645</x:v>
      </x:c>
      <x:c r="I26" s="5" t="str">
        <x:v>מאצ'ה 1.8 גר' ₪2.12 · 145 מ"ל חלב ₪0.79 · 70 מ"ל קצף חלבי ₪0.44 · 40 מ"ל מחית אפרסק ₪2.40</x:v>
      </x:c>
    </x:row>
    <x:row r="27">
      <x:c r="A27" s="9" t="n">
        <x:v>22</x:v>
      </x:c>
      <x:c r="B27" s="10" t="inlineStr">
        <x:is>
          <x:t xml:space="preserve">אייס מאצ'ה · Ice Matcha</x:t>
        </x:is>
      </x:c>
      <x:c r="C27" s="10" t="inlineStr">
        <x:is>
          <x:t xml:space="preserve">אייס מאצ'ה מסאלה</x:t>
        </x:is>
      </x:c>
      <x:c r="D27" s="20" t="n">
        <x:v>5.82</x:v>
      </x:c>
      <x:c r="E27" s="22" t="n">
        <x:v>32</x:v>
      </x:c>
      <x:c r="F27" s="20" t="n">
        <x:f>E27/1.18</x:f>
        <x:v>27.118644067796613</x:v>
      </x:c>
      <x:c r="G27" s="20" t="n">
        <x:f>F27-D27</x:f>
        <x:v>21.298644067796612</x:v>
      </x:c>
      <x:c r="H27" s="24" t="n">
        <x:f>G27/F27</x:f>
        <x:v>0.7853875</x:v>
      </x:c>
      <x:c r="I27" s="10" t="str">
        <x:v>מאצ'ה 1.8 גר' ₪2.12 · 120 מ"ל חלב ₪0.65 · 70 מ"ל קצף חלבי ₪0.44 · 40 מ"ל GT מסאלה ₪2.60</x:v>
      </x:c>
    </x:row>
    <x:row r="28">
      <x:c r="A28" s="4" t="n">
        <x:v>23</x:v>
      </x:c>
      <x:c r="B28" s="5" t="inlineStr">
        <x:is>
          <x:t xml:space="preserve">אייס מאצ'ה · Ice Matcha</x:t>
        </x:is>
      </x:c>
      <x:c r="C28" s="5" t="inlineStr">
        <x:is>
          <x:t xml:space="preserve">מאצ'ה אגבה על הקרח</x:t>
        </x:is>
      </x:c>
      <x:c r="D28" s="19" t="n">
        <x:v>3.01</x:v>
      </x:c>
      <x:c r="E28" s="21" t="n">
        <x:v>26</x:v>
      </x:c>
      <x:c r="F28" s="19" t="n">
        <x:f>E28/1.18</x:f>
        <x:v>22.033898305084747</x:v>
      </x:c>
      <x:c r="G28" s="19" t="n">
        <x:f>F28-D28</x:f>
        <x:v>19.02389830508475</x:v>
      </x:c>
      <x:c r="H28" s="23" t="n">
        <x:f>G28/F28</x:f>
        <x:v>0.8633923076923078</x:v>
      </x:c>
      <x:c r="I28" s="5" t="str">
        <x:v>מאצ'ה 1.8 גר' ₪2.12 · 15 מ"ל אגבה ₪0.45 · 70 מ"ל קצף חלבי ₪0.44</x:v>
      </x:c>
    </x:row>
    <x:row r="29">
      <x:c r="A29" s="9" t="n">
        <x:v>24</x:v>
      </x:c>
      <x:c r="B29" s="10" t="inlineStr">
        <x:is>
          <x:t xml:space="preserve">קולקציית מאצ׳ה מיוחדת · Matcha Collection</x:t>
        </x:is>
      </x:c>
      <x:c r="C29" s="10" t="inlineStr">
        <x:is>
          <x:t xml:space="preserve">אייס מאצ'ה וניל</x:t>
        </x:is>
      </x:c>
      <x:c r="D29" s="20" t="n">
        <x:v>3.65</x:v>
      </x:c>
      <x:c r="E29" s="22" t="n">
        <x:v>28</x:v>
      </x:c>
      <x:c r="F29" s="20" t="n">
        <x:f>E29/1.18</x:f>
        <x:v>23.728813559322035</x:v>
      </x:c>
      <x:c r="G29" s="20" t="n">
        <x:f>F29-D29</x:f>
        <x:v>20.078813559322036</x:v>
      </x:c>
      <x:c r="H29" s="24" t="n">
        <x:f>G29/F29</x:f>
        <x:v>0.8461785714285714</x:v>
      </x:c>
      <x:c r="I29" s="10" t="str">
        <x:v>מאצ'ה 1.8 גר' ₪2.12 · 145 מ"ל חלב ₪0.79 · 70 מ"ל קצף חלבי ₪0.44 · וניל ₪0.30</x:v>
      </x:c>
    </x:row>
    <x:row r="30">
      <x:c r="A30" s="4" t="n">
        <x:v>25</x:v>
      </x:c>
      <x:c r="B30" s="5" t="inlineStr">
        <x:is>
          <x:t xml:space="preserve">קולקציית מאצ׳ה מיוחדת · Matcha Collection</x:t>
        </x:is>
      </x:c>
      <x:c r="C30" s="5" t="inlineStr">
        <x:is>
          <x:t xml:space="preserve">אייס מאצ'ה פיסטוק</x:t>
        </x:is>
      </x:c>
      <x:c r="D30" s="19" t="n">
        <x:v>4.55</x:v>
      </x:c>
      <x:c r="E30" s="21" t="n">
        <x:v>28</x:v>
      </x:c>
      <x:c r="F30" s="19" t="n">
        <x:f>E30/1.18</x:f>
        <x:v>23.728813559322035</x:v>
      </x:c>
      <x:c r="G30" s="19" t="n">
        <x:f>F30-D30</x:f>
        <x:v>19.178813559322034</x:v>
      </x:c>
      <x:c r="H30" s="23" t="n">
        <x:f>G30/F30</x:f>
        <x:v>0.80825</x:v>
      </x:c>
      <x:c r="I30" s="5" t="str">
        <x:v>מאצ'ה 1.8 גר' ₪2.12 · 145 מ"ל חלב ₪0.79 · 70 מ"ל קצף חלבי ₪0.44 · פיסטוק ₪1.20</x:v>
      </x:c>
    </x:row>
    <x:row r="31">
      <x:c r="A31" s="9" t="n">
        <x:v>26</x:v>
      </x:c>
      <x:c r="B31" s="10" t="inlineStr">
        <x:is>
          <x:t xml:space="preserve">קולקציית מאצ׳ה מיוחדת · Matcha Collection</x:t>
        </x:is>
      </x:c>
      <x:c r="C31" s="10" t="inlineStr">
        <x:is>
          <x:t xml:space="preserve">אייס מאצ'ה שומשום שחור</x:t>
        </x:is>
      </x:c>
      <x:c r="D31" s="20" t="n">
        <x:v>4.15</x:v>
      </x:c>
      <x:c r="E31" s="22" t="n">
        <x:v>28</x:v>
      </x:c>
      <x:c r="F31" s="20" t="n">
        <x:f>E31/1.18</x:f>
        <x:v>23.728813559322035</x:v>
      </x:c>
      <x:c r="G31" s="20" t="n">
        <x:f>F31-D31</x:f>
        <x:v>19.578813559322036</x:v>
      </x:c>
      <x:c r="H31" s="24" t="n">
        <x:f>G31/F31</x:f>
        <x:v>0.8251071428571429</x:v>
      </x:c>
      <x:c r="I31" s="10" t="str">
        <x:v>מאצ'ה 1.8 גר' ₪2.12 · 145 מ"ל חלב ₪0.79 · 70 מ"ל קצף חלבי ₪0.44 · שומשום שחור ₪0.80</x:v>
      </x:c>
    </x:row>
    <x:row r="32">
      <x:c r="A32" s="4" t="n">
        <x:v>27</x:v>
      </x:c>
      <x:c r="B32" s="5" t="inlineStr">
        <x:is>
          <x:t xml:space="preserve">קולקציית מאצ׳ה מיוחדת · Matcha Collection</x:t>
        </x:is>
      </x:c>
      <x:c r="C32" s="5" t="inlineStr">
        <x:is>
          <x:t xml:space="preserve">אייס מאצ'ה קפה</x:t>
        </x:is>
      </x:c>
      <x:c r="D32" s="19" t="n">
        <x:v>4.35</x:v>
      </x:c>
      <x:c r="E32" s="21" t="n">
        <x:v>29</x:v>
      </x:c>
      <x:c r="F32" s="19" t="n">
        <x:f>E32/1.18</x:f>
        <x:v>24.576271186440678</x:v>
      </x:c>
      <x:c r="G32" s="19" t="n">
        <x:f>F32-D32</x:f>
        <x:v>20.226271186440677</x:v>
      </x:c>
      <x:c r="H32" s="23" t="n">
        <x:f>G32/F32</x:f>
        <x:v>0.823</x:v>
      </x:c>
      <x:c r="I32" s="5" t="str">
        <x:v>מאצ'ה 1.8 גר' ₪2.12 · 145 מ"ל חלב ₪0.79 · 70 מ"ל קצף חלבי ₪0.44 · קפה ₪1.00</x:v>
      </x:c>
    </x:row>
    <x:row r="33">
      <x:c r="A33" s="9" t="n">
        <x:v>28</x:v>
      </x:c>
      <x:c r="B33" s="10" t="inlineStr">
        <x:is>
          <x:t xml:space="preserve">קולקציית מאצ׳ה מיוחדת · Matcha Collection</x:t>
        </x:is>
      </x:c>
      <x:c r="C33" s="10" t="inlineStr">
        <x:is>
          <x:t xml:space="preserve">אייס מאצ'ה בננה</x:t>
        </x:is>
      </x:c>
      <x:c r="D33" s="20" t="n">
        <x:v>3.85</x:v>
      </x:c>
      <x:c r="E33" s="22" t="n">
        <x:v>28</x:v>
      </x:c>
      <x:c r="F33" s="20" t="n">
        <x:f>E33/1.18</x:f>
        <x:v>23.728813559322035</x:v>
      </x:c>
      <x:c r="G33" s="20" t="n">
        <x:f>F33-D33</x:f>
        <x:v>19.878813559322033</x:v>
      </x:c>
      <x:c r="H33" s="24" t="n">
        <x:f>G33/F33</x:f>
        <x:v>0.83775</x:v>
      </x:c>
      <x:c r="I33" s="10" t="str">
        <x:v>מאצ'ה 1.8 גר' ₪2.12 · 145 מ"ל חלב ₪0.79 · 70 מ"ל קצף חלבי ₪0.44 · בננה ₪0.50</x:v>
      </x:c>
    </x:row>
    <x:row r="34">
      <x:c r="A34" s="4" t="n">
        <x:v>29</x:v>
      </x:c>
      <x:c r="B34" s="5" t="inlineStr">
        <x:is>
          <x:t xml:space="preserve">מאצ'ה קוקוס · Matcha Coconut</x:t>
        </x:is>
      </x:c>
      <x:c r="C34" s="5" t="inlineStr">
        <x:is>
          <x:t xml:space="preserve">מאצ'ה קוקוס אגבה</x:t>
        </x:is>
      </x:c>
      <x:c r="D34" s="19" t="n">
        <x:v>3.82</x:v>
      </x:c>
      <x:c r="E34" s="21" t="n">
        <x:v>29</x:v>
      </x:c>
      <x:c r="F34" s="19" t="n">
        <x:f>E34/1.18</x:f>
        <x:v>24.576271186440678</x:v>
      </x:c>
      <x:c r="G34" s="19" t="n">
        <x:f>F34-D34</x:f>
        <x:v>20.756271186440678</x:v>
      </x:c>
      <x:c r="H34" s="23" t="n">
        <x:f>G34/F34</x:f>
        <x:v>0.8445655172413793</x:v>
      </x:c>
      <x:c r="I34" s="5" t="str">
        <x:v>מאצ'ה 1.8 גר' ₪2.12 · 110 מ"ל מי קוקוס ₪1.10 · 70 מ"ל קרם קוקוס ₪0.15 · 15 מ"ל אגבה ₪0.45</x:v>
      </x:c>
    </x:row>
    <x:row r="35">
      <x:c r="A35" s="9" t="n">
        <x:v>30</x:v>
      </x:c>
      <x:c r="B35" s="10" t="inlineStr">
        <x:is>
          <x:t xml:space="preserve">מאצ'ה קוקוס · Matcha Coconut</x:t>
        </x:is>
      </x:c>
      <x:c r="C35" s="10" t="inlineStr">
        <x:is>
          <x:t xml:space="preserve">מאצ'ה קוקוס ליצ'י</x:t>
        </x:is>
      </x:c>
      <x:c r="D35" s="20" t="n">
        <x:v>3.85</x:v>
      </x:c>
      <x:c r="E35" s="22" t="n">
        <x:v>29</x:v>
      </x:c>
      <x:c r="F35" s="20" t="n">
        <x:f>E35/1.18</x:f>
        <x:v>24.576271186440678</x:v>
      </x:c>
      <x:c r="G35" s="20" t="n">
        <x:f>F35-D35</x:f>
        <x:v>20.726271186440677</x:v>
      </x:c>
      <x:c r="H35" s="24" t="n">
        <x:f>G35/F35</x:f>
        <x:v>0.8433448275862069</x:v>
      </x:c>
      <x:c r="I35" s="10" t="str">
        <x:v>מאצ'ה 1.8 גר' ₪2.12 · 110 מ"ל מי קוקוס ₪1.10 · 70 מ"ל קרם קוקוס ₪0.15 · 40 מ"ל מי ליצ'י ₪0.48</x:v>
      </x:c>
    </x:row>
    <x:row r="36">
      <x:c r="A36" s="4" t="n">
        <x:v>31</x:v>
      </x:c>
      <x:c r="B36" s="5" t="inlineStr">
        <x:is>
          <x:t xml:space="preserve">מאצ'ה קוקוס · Matcha Coconut</x:t>
        </x:is>
      </x:c>
      <x:c r="C36" s="5" t="inlineStr">
        <x:is>
          <x:t xml:space="preserve">מאצ'ה קוקוס תות</x:t>
        </x:is>
      </x:c>
      <x:c r="D36" s="19" t="n">
        <x:v>5.77</x:v>
      </x:c>
      <x:c r="E36" s="21" t="n">
        <x:v>31</x:v>
      </x:c>
      <x:c r="F36" s="19" t="n">
        <x:f>E36/1.18</x:f>
        <x:v>26.27118644067797</x:v>
      </x:c>
      <x:c r="G36" s="19" t="n">
        <x:f>F36-D36</x:f>
        <x:v>20.50118644067797</x:v>
      </x:c>
      <x:c r="H36" s="23" t="n">
        <x:f>G36/F36</x:f>
        <x:v>0.7803677419354839</x:v>
      </x:c>
      <x:c r="I36" s="5" t="str">
        <x:v>מאצ'ה 1.8 גר' ₪2.12 · 110 מ"ל מי קוקוס ₪1.10 · 70 מ"ל קרם קוקוס ₪0.15 · 40 מ"ל מחית תות ₪2.40</x:v>
      </x:c>
    </x:row>
    <x:row r="37">
      <x:c r="A37" s="9" t="n">
        <x:v>32</x:v>
      </x:c>
      <x:c r="B37" s="10" t="inlineStr">
        <x:is>
          <x:t xml:space="preserve">מאצ'ה קוקוס · Matcha Coconut</x:t>
        </x:is>
      </x:c>
      <x:c r="C37" s="10" t="inlineStr">
        <x:is>
          <x:t xml:space="preserve">מאצ'ה קוקוס מנגו</x:t>
        </x:is>
      </x:c>
      <x:c r="D37" s="20" t="n">
        <x:v>5.77</x:v>
      </x:c>
      <x:c r="E37" s="22" t="n">
        <x:v>31</x:v>
      </x:c>
      <x:c r="F37" s="20" t="n">
        <x:f>E37/1.18</x:f>
        <x:v>26.27118644067797</x:v>
      </x:c>
      <x:c r="G37" s="20" t="n">
        <x:f>F37-D37</x:f>
        <x:v>20.50118644067797</x:v>
      </x:c>
      <x:c r="H37" s="24" t="n">
        <x:f>G37/F37</x:f>
        <x:v>0.7803677419354839</x:v>
      </x:c>
      <x:c r="I37" s="10" t="str">
        <x:v>מאצ'ה 1.8 גר' ₪2.12 · 110 מ"ל מי קוקוס ₪1.10 · 70 מ"ל קרם קוקוס ₪0.15 · 40 מ"ל מנגו ₪2.40</x:v>
      </x:c>
    </x:row>
    <x:row r="38">
      <x:c r="A38" s="4" t="n">
        <x:v>33</x:v>
      </x:c>
      <x:c r="B38" s="5" t="inlineStr">
        <x:is>
          <x:t xml:space="preserve">מאצ'ה קוקוס · Matcha Coconut</x:t>
        </x:is>
      </x:c>
      <x:c r="C38" s="5" t="inlineStr">
        <x:is>
          <x:t xml:space="preserve">מאצ'ה קוקוס אפרסק</x:t>
        </x:is>
      </x:c>
      <x:c r="D38" s="19" t="n">
        <x:v>5.77</x:v>
      </x:c>
      <x:c r="E38" s="21" t="n">
        <x:v>31</x:v>
      </x:c>
      <x:c r="F38" s="19" t="n">
        <x:f>E38/1.18</x:f>
        <x:v>26.27118644067797</x:v>
      </x:c>
      <x:c r="G38" s="19" t="n">
        <x:f>F38-D38</x:f>
        <x:v>20.50118644067797</x:v>
      </x:c>
      <x:c r="H38" s="23" t="n">
        <x:f>G38/F38</x:f>
        <x:v>0.7803677419354839</x:v>
      </x:c>
      <x:c r="I38" s="5" t="str">
        <x:v>מאצ'ה 1.8 גר' ₪2.12 · 110 מ"ל מי קוקוס ₪1.10 · 70 מ"ל קרם קוקוס ₪0.15 · 40 מ"ל מחית אפרסק ₪2.40</x:v>
      </x:c>
    </x:row>
    <x:row r="39">
      <x:c r="A39" s="9" t="n">
        <x:v>34</x:v>
      </x:c>
      <x:c r="B39" s="10" t="inlineStr">
        <x:is>
          <x:t xml:space="preserve">צ'אי מסאלה · GT Chai Massala</x:t>
        </x:is>
      </x:c>
      <x:c r="C39" s="10" t="inlineStr">
        <x:is>
          <x:t xml:space="preserve">אייס צ'אי מסאלה קלאסי</x:t>
        </x:is>
      </x:c>
      <x:c r="D39" s="20" t="n">
        <x:v>4.48</x:v>
      </x:c>
      <x:c r="E39" s="22" t="n">
        <x:v>28</x:v>
      </x:c>
      <x:c r="F39" s="20" t="n">
        <x:f>E39/1.18</x:f>
        <x:v>23.728813559322035</x:v>
      </x:c>
      <x:c r="G39" s="20" t="n">
        <x:f>F39-D39</x:f>
        <x:v>19.248813559322034</x:v>
      </x:c>
      <x:c r="H39" s="24" t="n">
        <x:f>G39/F39</x:f>
        <x:v>0.8112</x:v>
      </x:c>
      <x:c r="I39" s="10" t="str">
        <x:v>50 מ"ל GT ₪3.25 · 145 מ"ל חלב ₪0.79 · 70 מ"ל קצף חלבי ₪0.44</x:v>
      </x:c>
    </x:row>
    <x:row r="40">
      <x:c r="A40" s="4" t="n">
        <x:v>35</x:v>
      </x:c>
      <x:c r="B40" s="5" t="inlineStr">
        <x:is>
          <x:t xml:space="preserve">צ'אי מסאלה · GT Chai Massala</x:t>
        </x:is>
      </x:c>
      <x:c r="C40" s="5" t="inlineStr">
        <x:is>
          <x:t xml:space="preserve">צ'אי מסאלה על הקרח</x:t>
        </x:is>
      </x:c>
      <x:c r="D40" s="19" t="n">
        <x:v>3.69</x:v>
      </x:c>
      <x:c r="E40" s="21" t="n">
        <x:v>24</x:v>
      </x:c>
      <x:c r="F40" s="19" t="n">
        <x:f>E40/1.18</x:f>
        <x:v>20.33898305084746</x:v>
      </x:c>
      <x:c r="G40" s="19" t="n">
        <x:f>F40-D40</x:f>
        <x:v>16.64898305084746</x:v>
      </x:c>
      <x:c r="H40" s="23" t="n">
        <x:f>G40/F40</x:f>
        <x:v>0.8185749999999999</x:v>
      </x:c>
      <x:c r="I40" s="5" t="str">
        <x:v>50 מ"ל GT ₪3.25 · 70 מ"ל קצף חלבי ₪0.44</x:v>
      </x:c>
    </x:row>
    <x:row r="41">
      <x:c r="A41" s="9" t="n">
        <x:v>36</x:v>
      </x:c>
      <x:c r="B41" s="10" t="inlineStr">
        <x:is>
          <x:t xml:space="preserve">צ'אי מסאלה · GT Chai Massala</x:t>
        </x:is>
      </x:c>
      <x:c r="C41" s="10" t="inlineStr">
        <x:is>
          <x:t xml:space="preserve">דירטי צ'אי</x:t>
        </x:is>
      </x:c>
      <x:c r="D41" s="20" t="n">
        <x:v>5.48</x:v>
      </x:c>
      <x:c r="E41" s="22" t="n">
        <x:v>30</x:v>
      </x:c>
      <x:c r="F41" s="20" t="n">
        <x:f>E41/1.18</x:f>
        <x:v>25.423728813559322</x:v>
      </x:c>
      <x:c r="G41" s="20" t="n">
        <x:f>F41-D41</x:f>
        <x:v>19.94372881355932</x:v>
      </x:c>
      <x:c r="H41" s="24" t="n">
        <x:f>G41/F41</x:f>
        <x:v>0.7844533333333333</x:v>
      </x:c>
      <x:c r="I41" s="10" t="str">
        <x:v>50 מ"ל GT ₪3.25 · 145 מ"ל חלב ₪0.79 · 70 מ"ל קצף חלבי ₪0.44 · אספרסו ₪1.00</x:v>
      </x:c>
    </x:row>
    <x:row r="42">
      <x:c r="A42" s="4" t="n">
        <x:v>37</x:v>
      </x:c>
      <x:c r="B42" s="5" t="inlineStr">
        <x:is>
          <x:t xml:space="preserve">צ'אי מסאלה · GT Chai Massala</x:t>
        </x:is>
      </x:c>
      <x:c r="C42" s="5" t="inlineStr">
        <x:is>
          <x:t xml:space="preserve">צ'אי מסאלה תפוז וטוניק</x:t>
        </x:is>
      </x:c>
      <x:c r="D42" s="19" t="n">
        <x:v>4.45</x:v>
      </x:c>
      <x:c r="E42" s="21" t="n">
        <x:v>26</x:v>
      </x:c>
      <x:c r="F42" s="19" t="n">
        <x:f>E42/1.18</x:f>
        <x:v>22.033898305084747</x:v>
      </x:c>
      <x:c r="G42" s="19" t="n">
        <x:f>F42-D42</x:f>
        <x:v>17.583898305084748</x:v>
      </x:c>
      <x:c r="H42" s="23" t="n">
        <x:f>G42/F42</x:f>
        <x:v>0.7980384615384616</x:v>
      </x:c>
      <x:c r="I42" s="5" t="str">
        <x:v>50 מ"ל GT ₪3.25 · 120 מ"ל טוניק ₪1.20</x:v>
      </x:c>
    </x:row>
    <x:row r="43">
      <x:c r="A43" s="9" t="n">
        <x:v>38</x:v>
      </x:c>
      <x:c r="B43" s="10" t="inlineStr">
        <x:is>
          <x:t xml:space="preserve">צ'אי מסאלה · GT Chai Massala</x:t>
        </x:is>
      </x:c>
      <x:c r="C43" s="10" t="inlineStr">
        <x:is>
          <x:t xml:space="preserve">צ'אי מסאלה פינק טוניק</x:t>
        </x:is>
      </x:c>
      <x:c r="D43" s="20" t="n">
        <x:v>4.45</x:v>
      </x:c>
      <x:c r="E43" s="22" t="n">
        <x:v>24</x:v>
      </x:c>
      <x:c r="F43" s="20" t="n">
        <x:f>E43/1.18</x:f>
        <x:v>20.33898305084746</x:v>
      </x:c>
      <x:c r="G43" s="20" t="n">
        <x:f>F43-D43</x:f>
        <x:v>15.888983050847461</x:v>
      </x:c>
      <x:c r="H43" s="24" t="n">
        <x:f>G43/F43</x:f>
        <x:v>0.7812083333333334</x:v>
      </x:c>
      <x:c r="I43" s="10" t="str">
        <x:v>50 מ"ל GT ₪3.25 · 120 מ"ל טוניק ₪1.20</x:v>
      </x:c>
    </x:row>
    <x:row r="44">
      <x:c r="A44" s="4" t="n">
        <x:v>39</x:v>
      </x:c>
      <x:c r="B44" s="5" t="inlineStr">
        <x:is>
          <x:t xml:space="preserve">צ'אי מסאלה · GT Chai Massala</x:t>
        </x:is>
      </x:c>
      <x:c r="C44" s="5" t="inlineStr">
        <x:is>
          <x:t xml:space="preserve">צ'אי מסאלה ומיץ תפוזים</x:t>
        </x:is>
      </x:c>
      <x:c r="D44" s="19" t="n">
        <x:v>5.18</x:v>
      </x:c>
      <x:c r="E44" s="21" t="n">
        <x:v>28</x:v>
      </x:c>
      <x:c r="F44" s="19" t="n">
        <x:f>E44/1.18</x:f>
        <x:v>23.728813559322035</x:v>
      </x:c>
      <x:c r="G44" s="19" t="n">
        <x:f>F44-D44</x:f>
        <x:v>18.548813559322035</x:v>
      </x:c>
      <x:c r="H44" s="23" t="n">
        <x:f>G44/F44</x:f>
        <x:v>0.7817000000000001</x:v>
      </x:c>
      <x:c r="I44" s="5" t="str">
        <x:v>50 מ"ל GT ₪3.25 · 145 מ"ל מיץ תפוזים ₪1.93</x:v>
      </x:c>
    </x:row>
    <x:row r="45">
      <x:c r="A45" s="9" t="n">
        <x:v>40</x:v>
      </x:c>
      <x:c r="B45" s="10" t="inlineStr">
        <x:is>
          <x:t xml:space="preserve">צ'אי מסאלה קולד פואם · Chai Cold Foam</x:t>
        </x:is>
      </x:c>
      <x:c r="C45" s="10" t="inlineStr">
        <x:is>
          <x:t xml:space="preserve">צ'אי מסאלה קולד פואם וניל</x:t>
        </x:is>
      </x:c>
      <x:c r="D45" s="20" t="n">
        <x:v>3.99</x:v>
      </x:c>
      <x:c r="E45" s="22" t="n">
        <x:v>28</x:v>
      </x:c>
      <x:c r="F45" s="20" t="n">
        <x:f>E45/1.18</x:f>
        <x:v>23.728813559322035</x:v>
      </x:c>
      <x:c r="G45" s="20" t="n">
        <x:f>F45-D45</x:f>
        <x:v>19.738813559322033</x:v>
      </x:c>
      <x:c r="H45" s="24" t="n">
        <x:f>G45/F45</x:f>
        <x:v>0.8318499999999999</x:v>
      </x:c>
      <x:c r="I45" s="10" t="str">
        <x:v>50 מ"ל GT ₪3.25 · 70 מ"ל קצף חלבי ₪0.44 · וניל ₪0.30</x:v>
      </x:c>
    </x:row>
    <x:row r="46">
      <x:c r="A46" s="4" t="n">
        <x:v>41</x:v>
      </x:c>
      <x:c r="B46" s="5" t="inlineStr">
        <x:is>
          <x:t xml:space="preserve">צ'אי מסאלה קולד פואם · Chai Cold Foam</x:t>
        </x:is>
      </x:c>
      <x:c r="C46" s="5" t="inlineStr">
        <x:is>
          <x:t xml:space="preserve">צ'אי מסאלה קולד פואם פיסטוק</x:t>
        </x:is>
      </x:c>
      <x:c r="D46" s="19" t="n">
        <x:v>4.89</x:v>
      </x:c>
      <x:c r="E46" s="21" t="n">
        <x:v>29</x:v>
      </x:c>
      <x:c r="F46" s="19" t="n">
        <x:f>E46/1.18</x:f>
        <x:v>24.576271186440678</x:v>
      </x:c>
      <x:c r="G46" s="19" t="n">
        <x:f>F46-D46</x:f>
        <x:v>19.686271186440678</x:v>
      </x:c>
      <x:c r="H46" s="23" t="n">
        <x:f>G46/F46</x:f>
        <x:v>0.8010275862068965</x:v>
      </x:c>
      <x:c r="I46" s="5" t="str">
        <x:v>50 מ"ל GT ₪3.25 · 70 מ"ל קצף חלבי ₪0.44 · פיסטוק ₪1.20</x:v>
      </x:c>
    </x:row>
    <x:row r="47">
      <x:c r="A47" s="9" t="n">
        <x:v>42</x:v>
      </x:c>
      <x:c r="B47" s="10" t="inlineStr">
        <x:is>
          <x:t xml:space="preserve">צ'אי מסאלה קולד פואם · Chai Cold Foam</x:t>
        </x:is>
      </x:c>
      <x:c r="C47" s="10" t="inlineStr">
        <x:is>
          <x:t xml:space="preserve">צ'אי תאילנדי קוקוס קולד פואם</x:t>
        </x:is>
      </x:c>
      <x:c r="D47" s="20" t="n">
        <x:v>4.5</x:v>
      </x:c>
      <x:c r="E47" s="22" t="n">
        <x:v>29</x:v>
      </x:c>
      <x:c r="F47" s="20" t="n">
        <x:f>E47/1.18</x:f>
        <x:v>24.576271186440678</x:v>
      </x:c>
      <x:c r="G47" s="20" t="n">
        <x:f>F47-D47</x:f>
        <x:v>20.076271186440678</x:v>
      </x:c>
      <x:c r="H47" s="24" t="n">
        <x:f>G47/F47</x:f>
        <x:v>0.8168965517241379</x:v>
      </x:c>
      <x:c r="I47" s="10" t="str">
        <x:v>50 מ"ל GT ₪3.25 · 110 מ"ל מי קוקוס ₪1.10 · 70 מ"ל קרם קוקוס ₪0.15</x:v>
      </x:c>
    </x:row>
    <x:row r="48">
      <x:c r="A48" s="4" t="n">
        <x:v>43</x:v>
      </x:c>
      <x:c r="B48" s="5" t="inlineStr">
        <x:is>
          <x:t xml:space="preserve">צ'אי מסאלה קולד פואם · Chai Cold Foam</x:t>
        </x:is>
      </x:c>
      <x:c r="C48" s="5" t="inlineStr">
        <x:is>
          <x:t xml:space="preserve">צ'אי מסאלה קולד פואם בננה</x:t>
        </x:is>
      </x:c>
      <x:c r="D48" s="19" t="n">
        <x:v>4.19</x:v>
      </x:c>
      <x:c r="E48" s="21" t="n">
        <x:v>28</x:v>
      </x:c>
      <x:c r="F48" s="19" t="n">
        <x:f>E48/1.18</x:f>
        <x:v>23.728813559322035</x:v>
      </x:c>
      <x:c r="G48" s="19" t="n">
        <x:f>F48-D48</x:f>
        <x:v>19.538813559322033</x:v>
      </x:c>
      <x:c r="H48" s="23" t="n">
        <x:f>G48/F48</x:f>
        <x:v>0.8234214285714285</x:v>
      </x:c>
      <x:c r="I48" s="5" t="str">
        <x:v>50 מ"ל GT ₪3.25 · 70 מ"ל קצף חלבי ₪0.44 · בננה ₪0.50</x:v>
      </x:c>
    </x:row>
    <x:row r="49">
      <x:c r="A49" s="9" t="n">
        <x:v>44</x:v>
      </x:c>
      <x:c r="B49" s="10" t="inlineStr">
        <x:is>
          <x:t xml:space="preserve">אובה · Ube</x:t>
        </x:is>
      </x:c>
      <x:c r="C49" s="10" t="inlineStr">
        <x:is>
          <x:t xml:space="preserve">אייס אובה תות</x:t>
        </x:is>
      </x:c>
      <x:c r="D49" s="20" t="n">
        <x:v>4.31</x:v>
      </x:c>
      <x:c r="E49" s="22" t="n">
        <x:v>27</x:v>
      </x:c>
      <x:c r="F49" s="20" t="n">
        <x:f>E49/1.18</x:f>
        <x:v>22.88135593220339</x:v>
      </x:c>
      <x:c r="G49" s="20" t="n">
        <x:f>F49-D49</x:f>
        <x:v>18.571355932203392</x:v>
      </x:c>
      <x:c r="H49" s="24" t="n">
        <x:f>G49/F49</x:f>
        <x:v>0.8116370370370372</x:v>
      </x:c>
      <x:c r="I49" s="10" t="str">
        <x:v>אובה 2 גר' ₪0.68 · 145 מ"ל חלב ₪0.79 · 70 מ"ל קצף חלבי ₪0.44 · 40 מ"ל מחית תות ₪2.40</x:v>
      </x:c>
    </x:row>
    <x:row r="50">
      <x:c r="A50" s="4" t="n">
        <x:v>45</x:v>
      </x:c>
      <x:c r="B50" s="5" t="inlineStr">
        <x:is>
          <x:t xml:space="preserve">אובה · Ube</x:t>
        </x:is>
      </x:c>
      <x:c r="C50" s="5" t="inlineStr">
        <x:is>
          <x:t xml:space="preserve">אייס אובה מנגו</x:t>
        </x:is>
      </x:c>
      <x:c r="D50" s="19" t="n">
        <x:v>4.31</x:v>
      </x:c>
      <x:c r="E50" s="21" t="n">
        <x:v>27</x:v>
      </x:c>
      <x:c r="F50" s="19" t="n">
        <x:f>E50/1.18</x:f>
        <x:v>22.88135593220339</x:v>
      </x:c>
      <x:c r="G50" s="19" t="n">
        <x:f>F50-D50</x:f>
        <x:v>18.571355932203392</x:v>
      </x:c>
      <x:c r="H50" s="23" t="n">
        <x:f>G50/F50</x:f>
        <x:v>0.8116370370370372</x:v>
      </x:c>
      <x:c r="I50" s="5" t="str">
        <x:v>אובה 2 גר' ₪0.68 · 145 מ"ל חלב ₪0.79 · 70 מ"ל קצף חלבי ₪0.44 · 40 מ"ל מנגו ₪2.40</x:v>
      </x:c>
    </x:row>
    <x:row r="51">
      <x:c r="A51" s="9" t="n">
        <x:v>46</x:v>
      </x:c>
      <x:c r="B51" s="10" t="inlineStr">
        <x:is>
          <x:t xml:space="preserve">אובה · Ube</x:t>
        </x:is>
      </x:c>
      <x:c r="C51" s="10" t="inlineStr">
        <x:is>
          <x:t xml:space="preserve">אייס אובה אפרסק</x:t>
        </x:is>
      </x:c>
      <x:c r="D51" s="20" t="n">
        <x:v>4.31</x:v>
      </x:c>
      <x:c r="E51" s="22" t="n">
        <x:v>27</x:v>
      </x:c>
      <x:c r="F51" s="20" t="n">
        <x:f>E51/1.18</x:f>
        <x:v>22.88135593220339</x:v>
      </x:c>
      <x:c r="G51" s="20" t="n">
        <x:f>F51-D51</x:f>
        <x:v>18.571355932203392</x:v>
      </x:c>
      <x:c r="H51" s="24" t="n">
        <x:f>G51/F51</x:f>
        <x:v>0.8116370370370372</x:v>
      </x:c>
      <x:c r="I51" s="10" t="str">
        <x:v>אובה 2 גר' ₪0.68 · 145 מ"ל חלב ₪0.79 · 70 מ"ל קצף חלבי ₪0.44 · 40 מ"ל מחית אפרסק ₪2.40</x:v>
      </x:c>
    </x:row>
    <x:row r="52">
      <x:c r="A52" s="4" t="n">
        <x:v>47</x:v>
      </x:c>
      <x:c r="B52" s="5" t="inlineStr">
        <x:is>
          <x:t xml:space="preserve">אובה · Ube</x:t>
        </x:is>
      </x:c>
      <x:c r="C52" s="5" t="inlineStr">
        <x:is>
          <x:t xml:space="preserve">אייס אובה מסאלה</x:t>
        </x:is>
      </x:c>
      <x:c r="D52" s="19" t="n">
        <x:v>5.16</x:v>
      </x:c>
      <x:c r="E52" s="21" t="n">
        <x:v>29</x:v>
      </x:c>
      <x:c r="F52" s="19" t="n">
        <x:f>E52/1.18</x:f>
        <x:v>24.576271186440678</x:v>
      </x:c>
      <x:c r="G52" s="19" t="n">
        <x:f>F52-D52</x:f>
        <x:v>19.416271186440678</x:v>
      </x:c>
      <x:c r="H52" s="23" t="n">
        <x:f>G52/F52</x:f>
        <x:v>0.7900413793103448</x:v>
      </x:c>
      <x:c r="I52" s="5" t="str">
        <x:v>אובה 2 גר' ₪0.68 · 145 מ"ל חלב ₪0.79 · 70 מ"ל קצף חלבי ₪0.44 · 50 מ"ל GT מסאלה ₪3.25</x:v>
      </x:c>
    </x:row>
    <x:row r="53">
      <x:c r="A53" s="9" t="n">
        <x:v>48</x:v>
      </x:c>
      <x:c r="B53" s="10" t="inlineStr">
        <x:is>
          <x:t xml:space="preserve">אובה · Ube</x:t>
        </x:is>
      </x:c>
      <x:c r="C53" s="10" t="inlineStr">
        <x:is>
          <x:t xml:space="preserve">אייס אובה מאצ'ה</x:t>
        </x:is>
      </x:c>
      <x:c r="D53" s="20" t="n">
        <x:v>4.03</x:v>
      </x:c>
      <x:c r="E53" s="22" t="n">
        <x:v>28</x:v>
      </x:c>
      <x:c r="F53" s="20" t="n">
        <x:f>E53/1.18</x:f>
        <x:v>23.728813559322035</x:v>
      </x:c>
      <x:c r="G53" s="20" t="n">
        <x:f>F53-D53</x:f>
        <x:v>19.698813559322033</x:v>
      </x:c>
      <x:c r="H53" s="24" t="n">
        <x:f>G53/F53</x:f>
        <x:v>0.8301642857142857</x:v>
      </x:c>
      <x:c r="I53" s="10" t="str">
        <x:v>אובה 2 גר' ₪0.68 · 145 מ"ל חלב ₪0.79 · 70 מ"ל קצף חלבי ₪0.44 · מאצ'ה 1.8 גר' ₪2.12</x:v>
      </x:c>
    </x:row>
    <x:row r="55">
      <x:c r="C55" s="14" t="inlineStr">
        <x:is>
          <x:t xml:space="preserve">ממוצע</x:t>
        </x:is>
      </x:c>
      <x:c r="D55" s="15" t="n">
        <x:f>AVERAGE(D6:D53)</x:f>
        <x:v>4.271666666666666</x:v>
      </x:c>
      <x:c r="E55" s="15" t="n">
        <x:f>AVERAGE(E6:E53)</x:f>
        <x:v>26.25</x:v>
      </x:c>
      <x:c r="F55" s="15" t="n">
        <x:f>AVERAGE(F6:F53)</x:f>
        <x:v>22.245762711864405</x:v>
      </x:c>
      <x:c r="G55" s="15" t="n">
        <x:f>AVERAGE(G6:G53)</x:f>
        <x:v>17.974096045197744</x:v>
      </x:c>
      <x:c r="H55" s="16" t="n">
        <x:f>AVERAGE(H6:H53)</x:f>
        <x:v>0.8083752582780067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54" hidden="0" customWidth="1"/>
  </x:cols>
  <x:sheetData>
    <x:row r="1">
      <x:c r="A1" s="17" t="inlineStr">
        <x:is>
          <x:t xml:space="preserve">מחירון רכיבים והנחות המודל</x:t>
        </x:is>
      </x:c>
    </x:row>
    <x:row r="2">
      <x:c r="A2" s="2" t="str">
        <x:v>מקור: מחירון מוצרי GT המלא 06.08.2026; חלב ושמנת לפי מחיר ייחוס קמעונאי ללא מע״מ; יתר הרכיבים לפי הנחות המודל</x:v>
      </x:c>
    </x:row>
    <x:row r="3">
      <x:c r="A3" s="18" t="n"/>
      <x:c r="B3" s="18" t="n"/>
      <x:c r="C3" s="18" t="n"/>
    </x:row>
    <x:row r="4">
      <x:c r="A4" s="10" t="str">
        <x:v>תמצית GT (חליטות)</x:v>
      </x:c>
      <x:c r="B4" s="10" t="str">
        <x:v>₪65 / ליטר</x:v>
      </x:c>
      <x:c r="C4" s="10" t="str">
        <x:v>מחירון לקוח GT</x:v>
      </x:c>
    </x:row>
    <x:row r="5">
      <x:c r="A5" s="5" t="str">
        <x:v>מחית פרי ODK</x:v>
      </x:c>
      <x:c r="B5" s="5" t="str">
        <x:v>₪60 / ליטר</x:v>
      </x:c>
      <x:c r="C5" s="5" t="str">
        <x:v>מחירון לקוח GT</x:v>
      </x:c>
    </x:row>
    <x:row r="6">
      <x:c r="A6" s="10" t="str">
        <x:v>אבקת מאצ'ה</x:v>
      </x:c>
      <x:c r="B6" s="10" t="str">
        <x:v>₪1,180 / ק״ג</x:v>
      </x:c>
      <x:c r="C6" s="10" t="str">
        <x:v>מחירון לקוח GT: ₪590 ל-500 גרם</x:v>
      </x:c>
    </x:row>
    <x:row r="7">
      <x:c r="A7" s="5" t="str">
        <x:v>אבקת אובה</x:v>
      </x:c>
      <x:c r="B7" s="5" t="str">
        <x:v>₪340 / ק״ג</x:v>
      </x:c>
      <x:c r="C7" s="5" t="str">
        <x:v>מחירון לקוח GT</x:v>
      </x:c>
    </x:row>
    <x:row r="8">
      <x:c r="A8" s="10" t="inlineStr">
        <x:is>
          <x:t xml:space="preserve">לימונדה</x:t>
        </x:is>
      </x:c>
      <x:c r="B8" s="10" t="inlineStr">
        <x:is>
          <x:t xml:space="preserve">₪3 / ליטר</x:t>
        </x:is>
      </x:c>
      <x:c r="C8" s="10" t="inlineStr">
        <x:is>
          <x:t xml:space="preserve">מחירון</x:t>
        </x:is>
      </x:c>
    </x:row>
    <x:row r="9">
      <x:c r="A9" s="5" t="inlineStr">
        <x:is>
          <x:t xml:space="preserve">קרם קוקוס</x:t>
        </x:is>
      </x:c>
      <x:c r="B9" s="5" t="inlineStr">
        <x:is>
          <x:t xml:space="preserve">₪14 / ליטר</x:t>
        </x:is>
      </x:c>
      <x:c r="C9" s="5" t="inlineStr">
        <x:is>
          <x:t xml:space="preserve">מחירון</x:t>
        </x:is>
      </x:c>
    </x:row>
    <x:row r="10">
      <x:c r="A10" s="10" t="inlineStr">
        <x:is>
          <x:t xml:space="preserve">מי קוקוס</x:t>
        </x:is>
      </x:c>
      <x:c r="B10" s="10" t="inlineStr">
        <x:is>
          <x:t xml:space="preserve">₪10 / ליטר</x:t>
        </x:is>
      </x:c>
      <x:c r="C10" s="10" t="inlineStr">
        <x:is>
          <x:t xml:space="preserve">מחירון</x:t>
        </x:is>
      </x:c>
    </x:row>
    <x:row r="11">
      <x:c r="A11" s="5" t="str">
        <x:v>חלב 3%</x:v>
      </x:c>
      <x:c r="B11" s="5" t="str">
        <x:v>₪5.43 / ליטר</x:v>
      </x:c>
      <x:c r="C11" s="5" t="str">
        <x:v>מחיר ייחוס ₪6.41 כולל מע״מ / 1.18; לא חשבונית</x:v>
      </x:c>
    </x:row>
    <x:row r="12">
      <x:c r="A12" s="10" t="inlineStr">
        <x:is>
          <x:t xml:space="preserve">מנת אספרסו</x:t>
        </x:is>
      </x:c>
      <x:c r="B12" s="10" t="inlineStr">
        <x:is>
          <x:t xml:space="preserve">₪1.00</x:t>
        </x:is>
      </x:c>
      <x:c r="C12" s="10" t="inlineStr">
        <x:is>
          <x:t xml:space="preserve">מחירון</x:t>
        </x:is>
      </x:c>
    </x:row>
    <x:row r="13">
      <x:c r="A13" s="5" t="str">
        <x:v>מי טוניק (120 מ״ל)</x:v>
      </x:c>
      <x:c r="B13" s="5" t="str">
        <x:v>₪1.20</x:v>
      </x:c>
      <x:c r="C13" s="5" t="str">
        <x:v>הנחת ₪1.50 ל-150 מ״ל לפי מנת מזיגה</x:v>
      </x:c>
    </x:row>
    <x:row r="14">
      <x:c r="A14" s="10" t="str">
        <x:v>מיץ תפוזים (145 מ״ל)</x:v>
      </x:c>
      <x:c r="B14" s="10" t="str">
        <x:v>₪1.93</x:v>
      </x:c>
      <x:c r="C14" s="10" t="str">
        <x:v>הנחת ₪2.00 ל-150 מ״ל לפי מנת מזיגה</x:v>
      </x:c>
    </x:row>
    <x:row r="15">
      <x:c r="A15" s="5" t="inlineStr">
        <x:is>
          <x:t xml:space="preserve">מיץ תפוחים</x:t>
        </x:is>
      </x:c>
      <x:c r="B15" s="5" t="inlineStr">
        <x:is>
          <x:t xml:space="preserve">₪7 / ליטר</x:t>
        </x:is>
      </x:c>
      <x:c r="C15" s="5" t="inlineStr">
        <x:is>
          <x:t xml:space="preserve">הנחה — הזול בשוק</x:t>
        </x:is>
      </x:c>
    </x:row>
    <x:row r="16">
      <x:c r="A16" s="10" t="inlineStr">
        <x:is>
          <x:t xml:space="preserve">מי ליצ׳י</x:t>
        </x:is>
      </x:c>
      <x:c r="B16" s="10" t="inlineStr">
        <x:is>
          <x:t xml:space="preserve">₪12 / ליטר</x:t>
        </x:is>
      </x:c>
      <x:c r="C16" s="10" t="inlineStr">
        <x:is>
          <x:t xml:space="preserve">הנחה — הזול בשוק</x:t>
        </x:is>
      </x:c>
    </x:row>
    <x:row r="17">
      <x:c r="A17" s="5" t="inlineStr">
        <x:is>
          <x:t xml:space="preserve">סירופ אגבה</x:t>
        </x:is>
      </x:c>
      <x:c r="B17" s="5" t="inlineStr">
        <x:is>
          <x:t xml:space="preserve">₪30 / ליטר</x:t>
        </x:is>
      </x:c>
      <x:c r="C17" s="5" t="inlineStr">
        <x:is>
          <x:t xml:space="preserve">הנחה</x:t>
        </x:is>
      </x:c>
    </x:row>
    <x:row r="18">
      <x:c r="A18" s="10" t="str">
        <x:v>שמנת 38%</x:v>
      </x:c>
      <x:c r="B18" s="10" t="str">
        <x:v>₪25.90 / ליטר</x:v>
      </x:c>
      <x:c r="C18" s="10" t="str">
        <x:v>מחיר ייחוס ₪7.64 ל-250 מ״ל / 1.18; לא חשבונית</x:v>
      </x:c>
    </x:row>
    <x:row r="19">
      <x:c r="A19" s="5" t="str">
        <x:v>קצף חלב מוכן</x:v>
      </x:c>
      <x:c r="B19" s="5" t="str">
        <x:v>₪6.30 / ליטר</x:v>
      </x:c>
      <x:c r="C19" s="5" t="str">
        <x:v>מחושב מחלב ושמנת; תפוקת הקצפה כפולה</x:v>
      </x:c>
    </x:row>
    <x:row r="20">
      <x:c r="A20" s="10" t="inlineStr">
        <x:is>
          <x:t xml:space="preserve">קצף קוקוס מוכן</x:t>
        </x:is>
      </x:c>
      <x:c r="B20" s="10" t="inlineStr">
        <x:is>
          <x:t xml:space="preserve">₪2.10 / ליטר</x:t>
        </x:is>
      </x:c>
      <x:c r="C20" s="10" t="inlineStr">
        <x:is>
          <x:t xml:space="preserve">מחושב · הקצפה מכפילה נפח (÷2)</x:t>
        </x:is>
      </x:c>
    </x:row>
    <x:row r="21">
      <x:c r="A21" s="5" t="inlineStr">
        <x:is>
          <x:t xml:space="preserve">כוס</x:t>
        </x:is>
      </x:c>
      <x:c r="B21" s="5" t="inlineStr">
        <x:is>
          <x:t xml:space="preserve">350 מ״ל</x:t>
        </x:is>
      </x:c>
      <x:c r="C21" s="5" t="inlineStr">
        <x:is>
          <x:t xml:space="preserve">הכוס הקטנה</x:t>
        </x:is>
      </x:c>
    </x:row>
    <x:row r="22">
      <x:c r="A22" s="10" t="str">
        <x:v>מנת חלב עם קרח מלא (מפלס ⅔)</x:v>
      </x:c>
      <x:c r="B22" s="10" t="str">
        <x:v>145 מ״ל</x:v>
      </x:c>
      <x:c r="C22" s="10" t="str">
        <x:v>מנת מזיגה מוצעת בכוס 350 מ״ל; למדידה בשטח</x:v>
      </x:c>
    </x:row>
    <x:row r="23">
      <x:c r="A23" s="5" t="inlineStr">
        <x:is>
          <x:t xml:space="preserve">מנת קצף</x:t>
        </x:is>
      </x:c>
      <x:c r="B23" s="5" t="inlineStr">
        <x:is>
          <x:t xml:space="preserve">70 מ״ל</x:t>
        </x:is>
      </x:c>
      <x:c r="C23" s="5" t="inlineStr">
        <x:is>
          <x:t xml:space="preserve">חישוב</x:t>
        </x:is>
      </x:c>
    </x:row>
    <x:row r="24">
      <x:c r="A24" s="10" t="inlineStr">
        <x:is>
          <x:t xml:space="preserve">גרניש / קרח / מים / סודה / אריזה / עבודה</x:t>
        </x:is>
      </x:c>
      <x:c r="B24" s="10" t="inlineStr">
        <x:is>
          <x:t xml:space="preserve">לא נכלל</x:t>
        </x:is>
      </x:c>
      <x:c r="C24" s="10" t="inlineStr">
        <x:is>
          <x:t xml:space="preserve">החלטת Tom 2026-08-27</x:t>
        </x:is>
      </x:c>
    </x:row>
    <x:row r="25">
      <x:c r="A25" s="25" t="str">
        <x:v>חלב באייס מאצ׳ה מסאלה</x:v>
      </x:c>
      <x:c r="B25" s="25" t="str">
        <x:v>120 מ״ל</x:v>
      </x:c>
      <x:c r="C25" s="25" t="str">
        <x:v>מנת מזיגה מוצעת בנוסף ל-40 מ״ל GT</x:v>
      </x:c>
    </x:row>
    <x:row r="26">
      <x:c r="A26" s="25" t="str">
        <x:v>מי קוקוס במשקאות קרח</x:v>
      </x:c>
      <x:c r="B26" s="25" t="str">
        <x:v>110 מ״ל</x:v>
      </x:c>
      <x:c r="C26" s="25" t="str">
        <x:v>מנת מזיגה מוצעת במקום 150 מ״ל במודל הקודם</x:v>
      </x:c>
    </x:row>
    <x:row r="27">
      <x:c r="A27" s="25" t="str">
        <x:v>טוניק במשקאות קרח</x:v>
      </x:c>
      <x:c r="B27" s="25" t="str">
        <x:v>120 מ״ל</x:v>
      </x:c>
      <x:c r="C27" s="25" t="str">
        <x:v>מנת מזיגה מוצעת במקום 150 מ״ל</x:v>
      </x:c>
    </x:row>
    <x:row r="28">
      <x:c r="A28" s="25" t="str">
        <x:v>מיץ תפוזים במשקאות קרח</x:v>
      </x:c>
      <x:c r="B28" s="25" t="str">
        <x:v>145 מ״ל</x:v>
      </x:c>
      <x:c r="C28" s="25" t="str">
        <x:v>מנת מזיגה מוצעת במקום 150 מ״ל</x:v>
      </x:c>
    </x:row>
  </x:sheetData>
  <x:pageMargins left="0.7" right="0.7" top="0.75" bottom="0.75" header="0.3" footer="0.3"/>
</x:worksheet>
</file>