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 COST" sheetId="1" state="visible" r:id="rId1"/>
    <sheet name="מחירון רכיבים" sheetId="2" state="visible" r:id="rId2"/>
  </sheets>
  <definedNames>
    <definedName name="_xlnm._FilterDatabase" localSheetId="0" hidden="1">'FOOD COST'!$A$5:$I$53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₪#,##0.00"/>
    <numFmt numFmtId="165" formatCode="₪#,##0"/>
  </numFmts>
  <fonts count="7">
    <font>
      <name val="Calibri"/>
      <family val="2"/>
      <color theme="1"/>
      <sz val="11"/>
      <scheme val="minor"/>
    </font>
    <font>
      <name val="Arial"/>
      <b val="1"/>
      <color rgb="000F3D3E"/>
      <sz val="16"/>
    </font>
    <font>
      <name val="Arial"/>
      <color rgb="0052606D"/>
      <sz val="10"/>
    </font>
    <font>
      <name val="Arial"/>
      <b val="1"/>
      <color rgb="00FFFFFF"/>
      <sz val="11"/>
    </font>
    <font>
      <name val="Arial"/>
      <color rgb="001F2933"/>
      <sz val="11"/>
    </font>
    <font>
      <name val="Arial"/>
      <b val="1"/>
      <color rgb="000F3D3E"/>
      <sz val="11"/>
    </font>
    <font>
      <name val="Arial"/>
      <b val="1"/>
      <color rgb="000F3D3E"/>
      <sz val="14"/>
    </font>
  </fonts>
  <fills count="4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F4F7F6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9" fontId="4" fillId="3" borderId="1" applyAlignment="1" pivotButton="0" quotePrefix="0" xfId="0">
      <alignment horizontal="center"/>
    </xf>
    <xf numFmtId="0" fontId="5" fillId="0" borderId="0" pivotButton="0" quotePrefix="0" xfId="0"/>
    <xf numFmtId="164" fontId="5" fillId="0" borderId="1" pivotButton="0" quotePrefix="0" xfId="0"/>
    <xf numFmtId="9" fontId="5" fillId="0" borderId="1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15" customWidth="1" min="4" max="4"/>
    <col width="15" customWidth="1" min="5" max="5"/>
    <col width="15" customWidth="1" min="6" max="6"/>
    <col width="13" customWidth="1" min="7" max="7"/>
    <col width="10" customWidth="1" min="8" max="8"/>
    <col width="60" customWidth="1" min="9" max="9"/>
  </cols>
  <sheetData>
    <row r="1">
      <c r="A1" s="1" t="inlineStr">
        <is>
          <t>GT Everyday · FOOD COST ומחירים מומלצים</t>
        </is>
      </c>
    </row>
    <row r="2">
      <c r="A2" s="2" t="inlineStr">
        <is>
          <t>48 משקאות · מודל עלות בנוי מלמטה למעלה ממחירון הרכיבים · תאריך: 2026-08-27 · מע״מ 18% · FOOD COST ללא מע״מ · מחיר כולל מע״מ</t>
        </is>
      </c>
    </row>
    <row r="3">
      <c r="A3" s="2" t="inlineStr">
        <is>
          <t>רווח = מחיר/1.18 − FOOD COST · מרווח % = רווח ÷ (מחיר/1.18) · עלות רכיבי המשקה בלבד — ללא גרניש, קרח, מים, סודה, אריזה ועבודה</t>
        </is>
      </c>
    </row>
    <row r="5" ht="34" customHeight="1">
      <c r="A5" s="3" t="inlineStr">
        <is>
          <t>#</t>
        </is>
      </c>
      <c r="B5" s="3" t="inlineStr">
        <is>
          <t>משפחה</t>
        </is>
      </c>
      <c r="C5" s="3" t="inlineStr">
        <is>
          <t>משקה</t>
        </is>
      </c>
      <c r="D5" s="3" t="inlineStr">
        <is>
          <t>FOOD COST
ללא מע״מ</t>
        </is>
      </c>
      <c r="E5" s="3" t="inlineStr">
        <is>
          <t>מחיר מומלץ
כולל מע״מ</t>
        </is>
      </c>
      <c r="F5" s="3" t="inlineStr">
        <is>
          <t>מחיר ללא מע״מ</t>
        </is>
      </c>
      <c r="G5" s="3" t="inlineStr">
        <is>
          <t>רווח לכוס</t>
        </is>
      </c>
      <c r="H5" s="3" t="inlineStr">
        <is>
          <t>מרווח %</t>
        </is>
      </c>
      <c r="I5" s="3" t="inlineStr">
        <is>
          <t>פירוט עלות</t>
        </is>
      </c>
    </row>
    <row r="6">
      <c r="A6" s="4" t="n">
        <v>1</v>
      </c>
      <c r="B6" s="5" t="inlineStr">
        <is>
          <t>חליטות קרות · Iced Tea</t>
        </is>
      </c>
      <c r="C6" s="5" t="inlineStr">
        <is>
          <t>חליטת היביסקוס וליים</t>
        </is>
      </c>
      <c r="D6" s="6" t="n">
        <v>3.25</v>
      </c>
      <c r="E6" s="7" t="n">
        <v>20</v>
      </c>
      <c r="F6" s="6" t="n">
        <v>16.94915254237288</v>
      </c>
      <c r="G6" s="6" t="n">
        <v>13.69915254237288</v>
      </c>
      <c r="H6" s="8" t="n">
        <v>0.80825</v>
      </c>
      <c r="I6" s="5" t="inlineStr">
        <is>
          <t>50 מ"ל GT ₪3.25</t>
        </is>
      </c>
    </row>
    <row r="7">
      <c r="A7" s="9" t="n">
        <v>2</v>
      </c>
      <c r="B7" s="10" t="inlineStr">
        <is>
          <t>חליטות קרות · Iced Tea</t>
        </is>
      </c>
      <c r="C7" s="10" t="inlineStr">
        <is>
          <t>חליטת קמומיל ותפוח</t>
        </is>
      </c>
      <c r="D7" s="11" t="n">
        <v>3.25</v>
      </c>
      <c r="E7" s="12" t="n">
        <v>20</v>
      </c>
      <c r="F7" s="11" t="n">
        <v>16.94915254237288</v>
      </c>
      <c r="G7" s="11" t="n">
        <v>13.69915254237288</v>
      </c>
      <c r="H7" s="13" t="n">
        <v>0.80825</v>
      </c>
      <c r="I7" s="10" t="inlineStr">
        <is>
          <t>50 מ"ל GT ₪3.25</t>
        </is>
      </c>
    </row>
    <row r="8">
      <c r="A8" s="4" t="n">
        <v>3</v>
      </c>
      <c r="B8" s="5" t="inlineStr">
        <is>
          <t>חליטות קרות · Iced Tea</t>
        </is>
      </c>
      <c r="C8" s="5" t="inlineStr">
        <is>
          <t>חליטה מדברית</t>
        </is>
      </c>
      <c r="D8" s="6" t="n">
        <v>3.25</v>
      </c>
      <c r="E8" s="7" t="n">
        <v>20</v>
      </c>
      <c r="F8" s="6" t="n">
        <v>16.94915254237288</v>
      </c>
      <c r="G8" s="6" t="n">
        <v>13.69915254237288</v>
      </c>
      <c r="H8" s="8" t="n">
        <v>0.80825</v>
      </c>
      <c r="I8" s="5" t="inlineStr">
        <is>
          <t>50 מ"ל GT ₪3.25</t>
        </is>
      </c>
    </row>
    <row r="9">
      <c r="A9" s="9" t="n">
        <v>4</v>
      </c>
      <c r="B9" s="10" t="inlineStr">
        <is>
          <t>חליטות קרות · Iced Tea</t>
        </is>
      </c>
      <c r="C9" s="10" t="inlineStr">
        <is>
          <t>חליטת סנצ'ה ופסיפלורה</t>
        </is>
      </c>
      <c r="D9" s="11" t="n">
        <v>3.25</v>
      </c>
      <c r="E9" s="12" t="n">
        <v>20</v>
      </c>
      <c r="F9" s="11" t="n">
        <v>16.94915254237288</v>
      </c>
      <c r="G9" s="11" t="n">
        <v>13.69915254237288</v>
      </c>
      <c r="H9" s="13" t="n">
        <v>0.80825</v>
      </c>
      <c r="I9" s="10" t="inlineStr">
        <is>
          <t>50 מ"ל GT ₪3.25</t>
        </is>
      </c>
    </row>
    <row r="10">
      <c r="A10" s="4" t="n">
        <v>5</v>
      </c>
      <c r="B10" s="5" t="inlineStr">
        <is>
          <t>חליטות קרות · Iced Tea</t>
        </is>
      </c>
      <c r="C10" s="5" t="inlineStr">
        <is>
          <t>חליטת תה ירוק וליים</t>
        </is>
      </c>
      <c r="D10" s="6" t="n">
        <v>3.25</v>
      </c>
      <c r="E10" s="7" t="n">
        <v>20</v>
      </c>
      <c r="F10" s="6" t="n">
        <v>16.94915254237288</v>
      </c>
      <c r="G10" s="6" t="n">
        <v>13.69915254237288</v>
      </c>
      <c r="H10" s="8" t="n">
        <v>0.80825</v>
      </c>
      <c r="I10" s="5" t="inlineStr">
        <is>
          <t>50 מ"ל GT ₪3.25</t>
        </is>
      </c>
    </row>
    <row r="11">
      <c r="A11" s="9" t="n">
        <v>6</v>
      </c>
      <c r="B11" s="10" t="inlineStr">
        <is>
          <t>חליטות קרות · Iced Tea</t>
        </is>
      </c>
      <c r="C11" s="10" t="inlineStr">
        <is>
          <t>חליטת תה ירוק ולמון גראס</t>
        </is>
      </c>
      <c r="D11" s="11" t="n">
        <v>3.25</v>
      </c>
      <c r="E11" s="12" t="n">
        <v>20</v>
      </c>
      <c r="F11" s="11" t="n">
        <v>16.94915254237288</v>
      </c>
      <c r="G11" s="11" t="n">
        <v>13.69915254237288</v>
      </c>
      <c r="H11" s="13" t="n">
        <v>0.80825</v>
      </c>
      <c r="I11" s="10" t="inlineStr">
        <is>
          <t>50 מ"ל GT ₪3.25</t>
        </is>
      </c>
    </row>
    <row r="12">
      <c r="A12" s="4" t="n">
        <v>7</v>
      </c>
      <c r="B12" s="5" t="inlineStr">
        <is>
          <t>חליטות קרות · Iced Tea</t>
        </is>
      </c>
      <c r="C12" s="5" t="inlineStr">
        <is>
          <t>חליטת יסמין וליצ'י</t>
        </is>
      </c>
      <c r="D12" s="6" t="n">
        <v>3.25</v>
      </c>
      <c r="E12" s="7" t="n">
        <v>20</v>
      </c>
      <c r="F12" s="6" t="n">
        <v>16.94915254237288</v>
      </c>
      <c r="G12" s="6" t="n">
        <v>13.69915254237288</v>
      </c>
      <c r="H12" s="8" t="n">
        <v>0.80825</v>
      </c>
      <c r="I12" s="5" t="inlineStr">
        <is>
          <t>50 מ"ל GT ₪3.25</t>
        </is>
      </c>
    </row>
    <row r="13">
      <c r="A13" s="9" t="n">
        <v>8</v>
      </c>
      <c r="B13" s="10" t="inlineStr">
        <is>
          <t>לימונדות · Lemonade</t>
        </is>
      </c>
      <c r="C13" s="10" t="inlineStr">
        <is>
          <t>לימונדת היביסקוס וליים</t>
        </is>
      </c>
      <c r="D13" s="11" t="n">
        <v>3.95</v>
      </c>
      <c r="E13" s="12" t="n">
        <v>22</v>
      </c>
      <c r="F13" s="11" t="n">
        <v>18.64406779661017</v>
      </c>
      <c r="G13" s="11" t="n">
        <v>14.69406779661017</v>
      </c>
      <c r="H13" s="13" t="n">
        <v>0.7881363636363636</v>
      </c>
      <c r="I13" s="10" t="inlineStr">
        <is>
          <t>50 מ"ל GT ₪3.25 + 233 מ"ל לימונדה ₪0.70</t>
        </is>
      </c>
    </row>
    <row r="14">
      <c r="A14" s="4" t="n">
        <v>9</v>
      </c>
      <c r="B14" s="5" t="inlineStr">
        <is>
          <t>לימונדות · Lemonade</t>
        </is>
      </c>
      <c r="C14" s="5" t="inlineStr">
        <is>
          <t>לימונדה מדברית</t>
        </is>
      </c>
      <c r="D14" s="6" t="n">
        <v>3.95</v>
      </c>
      <c r="E14" s="7" t="n">
        <v>22</v>
      </c>
      <c r="F14" s="6" t="n">
        <v>18.64406779661017</v>
      </c>
      <c r="G14" s="6" t="n">
        <v>14.69406779661017</v>
      </c>
      <c r="H14" s="8" t="n">
        <v>0.7881363636363636</v>
      </c>
      <c r="I14" s="5" t="inlineStr">
        <is>
          <t>50 מ"ל GT ₪3.25 + 233 מ"ל לימונדה ₪0.70</t>
        </is>
      </c>
    </row>
    <row r="15">
      <c r="A15" s="9" t="n">
        <v>10</v>
      </c>
      <c r="B15" s="10" t="inlineStr">
        <is>
          <t>לימונדות · Lemonade</t>
        </is>
      </c>
      <c r="C15" s="10" t="inlineStr">
        <is>
          <t>לימונדת צ'אי מסאלה</t>
        </is>
      </c>
      <c r="D15" s="11" t="n">
        <v>3.95</v>
      </c>
      <c r="E15" s="12" t="n">
        <v>22</v>
      </c>
      <c r="F15" s="11" t="n">
        <v>18.64406779661017</v>
      </c>
      <c r="G15" s="11" t="n">
        <v>14.69406779661017</v>
      </c>
      <c r="H15" s="13" t="n">
        <v>0.7881363636363636</v>
      </c>
      <c r="I15" s="10" t="inlineStr">
        <is>
          <t>50 מ"ל GT ₪3.25 + 233 מ"ל לימונדה ₪0.70</t>
        </is>
      </c>
    </row>
    <row r="16">
      <c r="A16" s="4" t="n">
        <v>11</v>
      </c>
      <c r="B16" s="5" t="inlineStr">
        <is>
          <t>חליטות תה · Fruitea</t>
        </is>
      </c>
      <c r="C16" s="5" t="inlineStr">
        <is>
          <t>חליטת אפרסק מדברית</t>
        </is>
      </c>
      <c r="D16" s="6" t="n">
        <v>4.8</v>
      </c>
      <c r="E16" s="7" t="n">
        <v>31</v>
      </c>
      <c r="F16" s="6" t="n">
        <v>26.27118644067797</v>
      </c>
      <c r="G16" s="6" t="n">
        <v>21.47118644067797</v>
      </c>
      <c r="H16" s="8" t="n">
        <v>0.8172903225806452</v>
      </c>
      <c r="I16" s="5" t="inlineStr">
        <is>
          <t>40 מ"ל GT ₪2.60 + 40 מ"ל מחית אפרסק ₪2.20</t>
        </is>
      </c>
    </row>
    <row r="17">
      <c r="A17" s="9" t="n">
        <v>12</v>
      </c>
      <c r="B17" s="10" t="inlineStr">
        <is>
          <t>חליטות תה · Fruitea</t>
        </is>
      </c>
      <c r="C17" s="10" t="inlineStr">
        <is>
          <t>חליטת תות לואיזה</t>
        </is>
      </c>
      <c r="D17" s="11" t="n">
        <v>4.8</v>
      </c>
      <c r="E17" s="12" t="n">
        <v>31</v>
      </c>
      <c r="F17" s="11" t="n">
        <v>26.27118644067797</v>
      </c>
      <c r="G17" s="11" t="n">
        <v>21.47118644067797</v>
      </c>
      <c r="H17" s="13" t="n">
        <v>0.8172903225806452</v>
      </c>
      <c r="I17" s="10" t="inlineStr">
        <is>
          <t>40 מ"ל GT ₪2.60 + 40 מ"ל מחית תות ₪2.20</t>
        </is>
      </c>
    </row>
    <row r="18">
      <c r="A18" s="4" t="n">
        <v>13</v>
      </c>
      <c r="B18" s="5" t="inlineStr">
        <is>
          <t>חליטות תה · Fruitea</t>
        </is>
      </c>
      <c r="C18" s="5" t="inlineStr">
        <is>
          <t>חליטת מנגו סנצ'ה</t>
        </is>
      </c>
      <c r="D18" s="6" t="n">
        <v>4.8</v>
      </c>
      <c r="E18" s="7" t="n">
        <v>31</v>
      </c>
      <c r="F18" s="6" t="n">
        <v>26.27118644067797</v>
      </c>
      <c r="G18" s="6" t="n">
        <v>21.47118644067797</v>
      </c>
      <c r="H18" s="8" t="n">
        <v>0.8172903225806452</v>
      </c>
      <c r="I18" s="5" t="inlineStr">
        <is>
          <t>40 מ"ל GT ₪2.60 + 40 מ"ל מנגו ₪2.20</t>
        </is>
      </c>
    </row>
    <row r="19">
      <c r="A19" s="9" t="n">
        <v>14</v>
      </c>
      <c r="B19" s="10" t="inlineStr">
        <is>
          <t>חליטות תה · Fruitea</t>
        </is>
      </c>
      <c r="C19" s="10" t="inlineStr">
        <is>
          <t>חליטת תפוח היביסקוס</t>
        </is>
      </c>
      <c r="D19" s="11" t="n">
        <v>2.88</v>
      </c>
      <c r="E19" s="12" t="n">
        <v>24</v>
      </c>
      <c r="F19" s="11" t="n">
        <v>20.33898305084746</v>
      </c>
      <c r="G19" s="11" t="n">
        <v>17.45898305084746</v>
      </c>
      <c r="H19" s="13" t="n">
        <v>0.8584000000000001</v>
      </c>
      <c r="I19" s="10" t="inlineStr">
        <is>
          <t>40 מ"ל GT ₪2.60 + 40 מ"ל מיץ תפוחים ₪0.28</t>
        </is>
      </c>
    </row>
    <row r="20">
      <c r="A20" s="4" t="n">
        <v>15</v>
      </c>
      <c r="B20" s="5" t="inlineStr">
        <is>
          <t>גזוז · Gazoz</t>
        </is>
      </c>
      <c r="C20" s="5" t="inlineStr">
        <is>
          <t>גזוז יסמין וליצ'י</t>
        </is>
      </c>
      <c r="D20" s="6" t="n">
        <v>3.08</v>
      </c>
      <c r="E20" s="7" t="n">
        <v>25</v>
      </c>
      <c r="F20" s="6" t="n">
        <v>21.1864406779661</v>
      </c>
      <c r="G20" s="6" t="n">
        <v>18.10644067796611</v>
      </c>
      <c r="H20" s="8" t="n">
        <v>0.8546240000000001</v>
      </c>
      <c r="I20" s="5" t="inlineStr">
        <is>
          <t>40 מ"ל GT ₪2.60 + 40 מ"ל מי ליצ'י ₪0.48</t>
        </is>
      </c>
    </row>
    <row r="21">
      <c r="A21" s="9" t="n">
        <v>16</v>
      </c>
      <c r="B21" s="10" t="inlineStr">
        <is>
          <t>גזוז · Gazoz</t>
        </is>
      </c>
      <c r="C21" s="10" t="inlineStr">
        <is>
          <t>גזוז מדברי ואפרסק</t>
        </is>
      </c>
      <c r="D21" s="11" t="n">
        <v>4.8</v>
      </c>
      <c r="E21" s="12" t="n">
        <v>33</v>
      </c>
      <c r="F21" s="11" t="n">
        <v>27.96610169491526</v>
      </c>
      <c r="G21" s="11" t="n">
        <v>23.16610169491526</v>
      </c>
      <c r="H21" s="13" t="n">
        <v>0.8283636363636363</v>
      </c>
      <c r="I21" s="10" t="inlineStr">
        <is>
          <t>40 מ"ל GT ₪2.60 + 40 מ"ל מחית אפרסק ₪2.20</t>
        </is>
      </c>
    </row>
    <row r="22">
      <c r="A22" s="4" t="n">
        <v>17</v>
      </c>
      <c r="B22" s="5" t="inlineStr">
        <is>
          <t>גזוז · Gazoz</t>
        </is>
      </c>
      <c r="C22" s="5" t="inlineStr">
        <is>
          <t>גזוז היביסקוס ותפוח</t>
        </is>
      </c>
      <c r="D22" s="6" t="n">
        <v>2.88</v>
      </c>
      <c r="E22" s="7" t="n">
        <v>22</v>
      </c>
      <c r="F22" s="6" t="n">
        <v>18.64406779661017</v>
      </c>
      <c r="G22" s="6" t="n">
        <v>15.76406779661017</v>
      </c>
      <c r="H22" s="8" t="n">
        <v>0.8455272727272728</v>
      </c>
      <c r="I22" s="5" t="inlineStr">
        <is>
          <t>40 מ"ל GT ₪2.60 + 40 מ"ל מיץ תפוחים ₪0.28</t>
        </is>
      </c>
    </row>
    <row r="23">
      <c r="A23" s="9" t="n">
        <v>18</v>
      </c>
      <c r="B23" s="10" t="inlineStr">
        <is>
          <t>אייס מאצ'ה · Ice Matcha</t>
        </is>
      </c>
      <c r="C23" s="10" t="inlineStr">
        <is>
          <t>אייס מאצ'ה קלאסי</t>
        </is>
      </c>
      <c r="D23" s="11" t="n">
        <v>4.26</v>
      </c>
      <c r="E23" s="12" t="n">
        <v>26</v>
      </c>
      <c r="F23" s="11" t="n">
        <v>22.03389830508475</v>
      </c>
      <c r="G23" s="11" t="n">
        <v>17.77389830508475</v>
      </c>
      <c r="H23" s="13" t="n">
        <v>0.8066615384615385</v>
      </c>
      <c r="I23" s="10" t="inlineStr">
        <is>
          <t>מאצ'ה 1.8 גר' ₪1.94 + 233 מ"ל חלב ₪1.87 + 70 מ"ל קצף חלבי ₪0.45</t>
        </is>
      </c>
    </row>
    <row r="24">
      <c r="A24" s="4" t="n">
        <v>19</v>
      </c>
      <c r="B24" s="5" t="inlineStr">
        <is>
          <t>אייס מאצ'ה · Ice Matcha</t>
        </is>
      </c>
      <c r="C24" s="5" t="inlineStr">
        <is>
          <t>אייס מאצ'ה מנגו</t>
        </is>
      </c>
      <c r="D24" s="6" t="n">
        <v>6.46</v>
      </c>
      <c r="E24" s="7" t="n">
        <v>39</v>
      </c>
      <c r="F24" s="6" t="n">
        <v>33.05084745762712</v>
      </c>
      <c r="G24" s="6" t="n">
        <v>26.59084745762712</v>
      </c>
      <c r="H24" s="8" t="n">
        <v>0.8045435897435897</v>
      </c>
      <c r="I24" s="5" t="inlineStr">
        <is>
          <t>מאצ'ה 1.8 גר' ₪1.94 + 233 מ"ל חלב ₪1.87 + 70 מ"ל קצף חלבי ₪0.45 + 40 מ"ל מנגו ₪2.20</t>
        </is>
      </c>
    </row>
    <row r="25">
      <c r="A25" s="9" t="n">
        <v>20</v>
      </c>
      <c r="B25" s="10" t="inlineStr">
        <is>
          <t>אייס מאצ'ה · Ice Matcha</t>
        </is>
      </c>
      <c r="C25" s="10" t="inlineStr">
        <is>
          <t>אייס מאצ'ה תות</t>
        </is>
      </c>
      <c r="D25" s="11" t="n">
        <v>6.46</v>
      </c>
      <c r="E25" s="12" t="n">
        <v>39</v>
      </c>
      <c r="F25" s="11" t="n">
        <v>33.05084745762712</v>
      </c>
      <c r="G25" s="11" t="n">
        <v>26.59084745762712</v>
      </c>
      <c r="H25" s="13" t="n">
        <v>0.8045435897435897</v>
      </c>
      <c r="I25" s="10" t="inlineStr">
        <is>
          <t>מאצ'ה 1.8 גר' ₪1.94 + 233 מ"ל חלב ₪1.87 + 70 מ"ל קצף חלבי ₪0.45 + 40 מ"ל מחית תות ₪2.20</t>
        </is>
      </c>
    </row>
    <row r="26">
      <c r="A26" s="4" t="n">
        <v>21</v>
      </c>
      <c r="B26" s="5" t="inlineStr">
        <is>
          <t>אייס מאצ'ה · Ice Matcha</t>
        </is>
      </c>
      <c r="C26" s="5" t="inlineStr">
        <is>
          <t>אייס מאצ'ה אפרסק</t>
        </is>
      </c>
      <c r="D26" s="6" t="n">
        <v>6.46</v>
      </c>
      <c r="E26" s="7" t="n">
        <v>39</v>
      </c>
      <c r="F26" s="6" t="n">
        <v>33.05084745762712</v>
      </c>
      <c r="G26" s="6" t="n">
        <v>26.59084745762712</v>
      </c>
      <c r="H26" s="8" t="n">
        <v>0.8045435897435897</v>
      </c>
      <c r="I26" s="5" t="inlineStr">
        <is>
          <t>מאצ'ה 1.8 גר' ₪1.94 + 233 מ"ל חלב ₪1.87 + 70 מ"ל קצף חלבי ₪0.45 + 40 מ"ל מחית אפרסק ₪2.20</t>
        </is>
      </c>
    </row>
    <row r="27">
      <c r="A27" s="9" t="n">
        <v>22</v>
      </c>
      <c r="B27" s="10" t="inlineStr">
        <is>
          <t>אייס מאצ'ה · Ice Matcha</t>
        </is>
      </c>
      <c r="C27" s="10" t="inlineStr">
        <is>
          <t>אייס מאצ'ה מסאלה</t>
        </is>
      </c>
      <c r="D27" s="11" t="n">
        <v>6.86</v>
      </c>
      <c r="E27" s="12" t="n">
        <v>37</v>
      </c>
      <c r="F27" s="11" t="n">
        <v>31.35593220338983</v>
      </c>
      <c r="G27" s="11" t="n">
        <v>24.49593220338983</v>
      </c>
      <c r="H27" s="13" t="n">
        <v>0.7812216216216217</v>
      </c>
      <c r="I27" s="10" t="inlineStr">
        <is>
          <t>מאצ'ה 1.8 גר' ₪1.94 + 233 מ"ל חלב ₪1.87 + 70 מ"ל קצף חלבי ₪0.45 + 40 מ"ל GT מסאלה ₪2.60</t>
        </is>
      </c>
    </row>
    <row r="28">
      <c r="A28" s="4" t="n">
        <v>23</v>
      </c>
      <c r="B28" s="5" t="inlineStr">
        <is>
          <t>אייס מאצ'ה · Ice Matcha</t>
        </is>
      </c>
      <c r="C28" s="5" t="inlineStr">
        <is>
          <t>מאצ'ה אגבה על הקרח</t>
        </is>
      </c>
      <c r="D28" s="6" t="n">
        <v>2.85</v>
      </c>
      <c r="E28" s="7" t="n">
        <v>26</v>
      </c>
      <c r="F28" s="6" t="n">
        <v>22.03389830508475</v>
      </c>
      <c r="G28" s="6" t="n">
        <v>19.18389830508475</v>
      </c>
      <c r="H28" s="8" t="n">
        <v>0.8706538461538461</v>
      </c>
      <c r="I28" s="5" t="inlineStr">
        <is>
          <t>מאצ'ה 1.8 גר' ₪1.94 + 15 מ"ל אגבה ₪0.45 + 70 מ"ל קצף חלבי ₪0.45</t>
        </is>
      </c>
    </row>
    <row r="29">
      <c r="A29" s="9" t="n">
        <v>24</v>
      </c>
      <c r="B29" s="10" t="inlineStr">
        <is>
          <t>קולקציית מאצ׳ה מיוחדת · Matcha Collection</t>
        </is>
      </c>
      <c r="C29" s="10" t="inlineStr">
        <is>
          <t>אייס מאצ'ה וניל</t>
        </is>
      </c>
      <c r="D29" s="11" t="n">
        <v>4.56</v>
      </c>
      <c r="E29" s="12" t="n">
        <v>28</v>
      </c>
      <c r="F29" s="11" t="n">
        <v>23.72881355932203</v>
      </c>
      <c r="G29" s="11" t="n">
        <v>19.16881355932204</v>
      </c>
      <c r="H29" s="13" t="n">
        <v>0.8078285714285715</v>
      </c>
      <c r="I29" s="10" t="inlineStr">
        <is>
          <t>מאצ'ה 1.8 גר' ₪1.94 + 233 מ"ל חלב ₪1.87 + 70 מ"ל קצף חלבי ₪0.45 + וניל ₪0.30</t>
        </is>
      </c>
    </row>
    <row r="30">
      <c r="A30" s="4" t="n">
        <v>25</v>
      </c>
      <c r="B30" s="5" t="inlineStr">
        <is>
          <t>קולקציית מאצ׳ה מיוחדת · Matcha Collection</t>
        </is>
      </c>
      <c r="C30" s="5" t="inlineStr">
        <is>
          <t>אייס מאצ'ה פיסטוק</t>
        </is>
      </c>
      <c r="D30" s="6" t="n">
        <v>5.46</v>
      </c>
      <c r="E30" s="7" t="n">
        <v>28</v>
      </c>
      <c r="F30" s="6" t="n">
        <v>23.72881355932203</v>
      </c>
      <c r="G30" s="6" t="n">
        <v>18.26881355932203</v>
      </c>
      <c r="H30" s="8" t="n">
        <v>0.7698999999999999</v>
      </c>
      <c r="I30" s="5" t="inlineStr">
        <is>
          <t>מאצ'ה 1.8 גר' ₪1.94 + 233 מ"ל חלב ₪1.87 + 70 מ"ל קצף חלבי ₪0.45 + פיסטוק ₪1.20</t>
        </is>
      </c>
    </row>
    <row r="31">
      <c r="A31" s="9" t="n">
        <v>26</v>
      </c>
      <c r="B31" s="10" t="inlineStr">
        <is>
          <t>קולקציית מאצ׳ה מיוחדת · Matcha Collection</t>
        </is>
      </c>
      <c r="C31" s="10" t="inlineStr">
        <is>
          <t>אייס מאצ'ה שומשום שחור</t>
        </is>
      </c>
      <c r="D31" s="11" t="n">
        <v>5.06</v>
      </c>
      <c r="E31" s="12" t="n">
        <v>28</v>
      </c>
      <c r="F31" s="11" t="n">
        <v>23.72881355932203</v>
      </c>
      <c r="G31" s="11" t="n">
        <v>18.66881355932204</v>
      </c>
      <c r="H31" s="13" t="n">
        <v>0.7867571428571429</v>
      </c>
      <c r="I31" s="10" t="inlineStr">
        <is>
          <t>מאצ'ה 1.8 גר' ₪1.94 + 233 מ"ל חלב ₪1.87 + 70 מ"ל קצף חלבי ₪0.45 + שומשום שחור ₪0.80</t>
        </is>
      </c>
    </row>
    <row r="32">
      <c r="A32" s="4" t="n">
        <v>27</v>
      </c>
      <c r="B32" s="5" t="inlineStr">
        <is>
          <t>קולקציית מאצ׳ה מיוחדת · Matcha Collection</t>
        </is>
      </c>
      <c r="C32" s="5" t="inlineStr">
        <is>
          <t>אייס מאצ'ה קפה</t>
        </is>
      </c>
      <c r="D32" s="6" t="n">
        <v>5.26</v>
      </c>
      <c r="E32" s="7" t="n">
        <v>29</v>
      </c>
      <c r="F32" s="6" t="n">
        <v>24.57627118644068</v>
      </c>
      <c r="G32" s="6" t="n">
        <v>19.31627118644068</v>
      </c>
      <c r="H32" s="8" t="n">
        <v>0.7859724137931036</v>
      </c>
      <c r="I32" s="5" t="inlineStr">
        <is>
          <t>מאצ'ה 1.8 גר' ₪1.94 + 233 מ"ל חלב ₪1.87 + 70 מ"ל קצף חלבי ₪0.45 + קפה ₪1.00</t>
        </is>
      </c>
    </row>
    <row r="33">
      <c r="A33" s="9" t="n">
        <v>28</v>
      </c>
      <c r="B33" s="10" t="inlineStr">
        <is>
          <t>קולקציית מאצ׳ה מיוחדת · Matcha Collection</t>
        </is>
      </c>
      <c r="C33" s="10" t="inlineStr">
        <is>
          <t>אייס מאצ'ה בננה</t>
        </is>
      </c>
      <c r="D33" s="11" t="n">
        <v>4.76</v>
      </c>
      <c r="E33" s="12" t="n">
        <v>28</v>
      </c>
      <c r="F33" s="11" t="n">
        <v>23.72881355932203</v>
      </c>
      <c r="G33" s="11" t="n">
        <v>18.96881355932204</v>
      </c>
      <c r="H33" s="13" t="n">
        <v>0.7994000000000001</v>
      </c>
      <c r="I33" s="10" t="inlineStr">
        <is>
          <t>מאצ'ה 1.8 גר' ₪1.94 + 233 מ"ל חלב ₪1.87 + 70 מ"ל קצף חלבי ₪0.45 + בננה ₪0.50</t>
        </is>
      </c>
    </row>
    <row r="34">
      <c r="A34" s="4" t="n">
        <v>29</v>
      </c>
      <c r="B34" s="5" t="inlineStr">
        <is>
          <t>מאצ'ה קוקוס · Matcha Coconut</t>
        </is>
      </c>
      <c r="C34" s="5" t="inlineStr">
        <is>
          <t>מאצ'ה קוקוס אגבה</t>
        </is>
      </c>
      <c r="D34" s="6" t="n">
        <v>4.04</v>
      </c>
      <c r="E34" s="7" t="n">
        <v>34</v>
      </c>
      <c r="F34" s="6" t="n">
        <v>28.8135593220339</v>
      </c>
      <c r="G34" s="6" t="n">
        <v>24.7735593220339</v>
      </c>
      <c r="H34" s="8" t="n">
        <v>0.8597882352941176</v>
      </c>
      <c r="I34" s="5" t="inlineStr">
        <is>
          <t>מאצ'ה 1.8 גר' ₪1.94 + 150 מ"ל מי קוקוס ₪1.50 + 70 מ"ל קרם קוקוס ₪0.15 + 15 מ"ל אגבה ₪0.45</t>
        </is>
      </c>
    </row>
    <row r="35">
      <c r="A35" s="9" t="n">
        <v>30</v>
      </c>
      <c r="B35" s="10" t="inlineStr">
        <is>
          <t>מאצ'ה קוקוס · Matcha Coconut</t>
        </is>
      </c>
      <c r="C35" s="10" t="inlineStr">
        <is>
          <t>מאצ'ה קוקוס ליצ'י</t>
        </is>
      </c>
      <c r="D35" s="11" t="n">
        <v>4.07</v>
      </c>
      <c r="E35" s="12" t="n">
        <v>32</v>
      </c>
      <c r="F35" s="11" t="n">
        <v>27.11864406779661</v>
      </c>
      <c r="G35" s="11" t="n">
        <v>23.04864406779661</v>
      </c>
      <c r="H35" s="13" t="n">
        <v>0.8499187500000001</v>
      </c>
      <c r="I35" s="10" t="inlineStr">
        <is>
          <t>מאצ'ה 1.8 גר' ₪1.94 + 150 מ"ל מי קוקוס ₪1.50 + 70 מ"ל קרם קוקוס ₪0.15 + 40 מ"ל מי ליצ'י ₪0.48</t>
        </is>
      </c>
    </row>
    <row r="36">
      <c r="A36" s="4" t="n">
        <v>31</v>
      </c>
      <c r="B36" s="5" t="inlineStr">
        <is>
          <t>מאצ'ה קוקוס · Matcha Coconut</t>
        </is>
      </c>
      <c r="C36" s="5" t="inlineStr">
        <is>
          <t>מאצ'ה קוקוס תות</t>
        </is>
      </c>
      <c r="D36" s="6" t="n">
        <v>5.79</v>
      </c>
      <c r="E36" s="7" t="n">
        <v>44</v>
      </c>
      <c r="F36" s="6" t="n">
        <v>37.28813559322034</v>
      </c>
      <c r="G36" s="6" t="n">
        <v>31.49813559322034</v>
      </c>
      <c r="H36" s="8" t="n">
        <v>0.8447227272727273</v>
      </c>
      <c r="I36" s="5" t="inlineStr">
        <is>
          <t>מאצ'ה 1.8 גר' ₪1.94 + 150 מ"ל מי קוקוס ₪1.50 + 70 מ"ל קרם קוקוס ₪0.15 + 40 מ"ל מחית תות ₪2.20</t>
        </is>
      </c>
    </row>
    <row r="37">
      <c r="A37" s="9" t="n">
        <v>32</v>
      </c>
      <c r="B37" s="10" t="inlineStr">
        <is>
          <t>מאצ'ה קוקוס · Matcha Coconut</t>
        </is>
      </c>
      <c r="C37" s="10" t="inlineStr">
        <is>
          <t>מאצ'ה קוקוס מנגו</t>
        </is>
      </c>
      <c r="D37" s="11" t="n">
        <v>5.79</v>
      </c>
      <c r="E37" s="12" t="n">
        <v>44</v>
      </c>
      <c r="F37" s="11" t="n">
        <v>37.28813559322034</v>
      </c>
      <c r="G37" s="11" t="n">
        <v>31.49813559322034</v>
      </c>
      <c r="H37" s="13" t="n">
        <v>0.8447227272727273</v>
      </c>
      <c r="I37" s="10" t="inlineStr">
        <is>
          <t>מאצ'ה 1.8 גר' ₪1.94 + 150 מ"ל מי קוקוס ₪1.50 + 70 מ"ל קרם קוקוס ₪0.15 + 40 מ"ל מנגו ₪2.20</t>
        </is>
      </c>
    </row>
    <row r="38">
      <c r="A38" s="4" t="n">
        <v>33</v>
      </c>
      <c r="B38" s="5" t="inlineStr">
        <is>
          <t>מאצ'ה קוקוס · Matcha Coconut</t>
        </is>
      </c>
      <c r="C38" s="5" t="inlineStr">
        <is>
          <t>מאצ'ה קוקוס אפרסק</t>
        </is>
      </c>
      <c r="D38" s="6" t="n">
        <v>5.79</v>
      </c>
      <c r="E38" s="7" t="n">
        <v>44</v>
      </c>
      <c r="F38" s="6" t="n">
        <v>37.28813559322034</v>
      </c>
      <c r="G38" s="6" t="n">
        <v>31.49813559322034</v>
      </c>
      <c r="H38" s="8" t="n">
        <v>0.8447227272727273</v>
      </c>
      <c r="I38" s="5" t="inlineStr">
        <is>
          <t>מאצ'ה 1.8 גר' ₪1.94 + 150 מ"ל מי קוקוס ₪1.50 + 70 מ"ל קרם קוקוס ₪0.15 + 40 מ"ל מחית אפרסק ₪2.20</t>
        </is>
      </c>
    </row>
    <row r="39">
      <c r="A39" s="9" t="n">
        <v>34</v>
      </c>
      <c r="B39" s="10" t="inlineStr">
        <is>
          <t>צ'אי מסאלה · GT Chai Massala</t>
        </is>
      </c>
      <c r="C39" s="10" t="inlineStr">
        <is>
          <t>אייס צ'אי מסאלה קלאסי</t>
        </is>
      </c>
      <c r="D39" s="11" t="n">
        <v>5.57</v>
      </c>
      <c r="E39" s="12" t="n">
        <v>28</v>
      </c>
      <c r="F39" s="11" t="n">
        <v>23.72881355932203</v>
      </c>
      <c r="G39" s="11" t="n">
        <v>18.15881355932203</v>
      </c>
      <c r="H39" s="13" t="n">
        <v>0.7652642857142857</v>
      </c>
      <c r="I39" s="10" t="inlineStr">
        <is>
          <t>50 מ"ל GT ₪3.25 + 233 מ"ל חלב ₪1.87 + 70 מ"ל קצף חלבי ₪0.45</t>
        </is>
      </c>
    </row>
    <row r="40">
      <c r="A40" s="4" t="n">
        <v>35</v>
      </c>
      <c r="B40" s="5" t="inlineStr">
        <is>
          <t>צ'אי מסאלה · GT Chai Massala</t>
        </is>
      </c>
      <c r="C40" s="5" t="inlineStr">
        <is>
          <t>צ'אי מסאלה על הקרח</t>
        </is>
      </c>
      <c r="D40" s="6" t="n">
        <v>3.7</v>
      </c>
      <c r="E40" s="7" t="n">
        <v>24</v>
      </c>
      <c r="F40" s="6" t="n">
        <v>20.33898305084746</v>
      </c>
      <c r="G40" s="6" t="n">
        <v>16.63898305084746</v>
      </c>
      <c r="H40" s="8" t="n">
        <v>0.8180833333333334</v>
      </c>
      <c r="I40" s="5" t="inlineStr">
        <is>
          <t>50 מ"ל GT ₪3.25 + 70 מ"ל קצף חלבי ₪0.45</t>
        </is>
      </c>
    </row>
    <row r="41">
      <c r="A41" s="9" t="n">
        <v>36</v>
      </c>
      <c r="B41" s="10" t="inlineStr">
        <is>
          <t>צ'אי מסאלה · GT Chai Massala</t>
        </is>
      </c>
      <c r="C41" s="10" t="inlineStr">
        <is>
          <t>דירטי צ'אי</t>
        </is>
      </c>
      <c r="D41" s="11" t="n">
        <v>6.57</v>
      </c>
      <c r="E41" s="12" t="n">
        <v>32</v>
      </c>
      <c r="F41" s="11" t="n">
        <v>27.11864406779661</v>
      </c>
      <c r="G41" s="11" t="n">
        <v>20.54864406779661</v>
      </c>
      <c r="H41" s="13" t="n">
        <v>0.75773125</v>
      </c>
      <c r="I41" s="10" t="inlineStr">
        <is>
          <t>50 מ"ל GT ₪3.25 + 233 מ"ל חלב ₪1.87 + 70 מ"ל קצף חלבי ₪0.45 + אספרסו ₪1.00</t>
        </is>
      </c>
    </row>
    <row r="42">
      <c r="A42" s="4" t="n">
        <v>37</v>
      </c>
      <c r="B42" s="5" t="inlineStr">
        <is>
          <t>צ'אי מסאלה · GT Chai Massala</t>
        </is>
      </c>
      <c r="C42" s="5" t="inlineStr">
        <is>
          <t>צ'אי מסאלה תפוז וטוניק</t>
        </is>
      </c>
      <c r="D42" s="6" t="n">
        <v>4.75</v>
      </c>
      <c r="E42" s="7" t="n">
        <v>26</v>
      </c>
      <c r="F42" s="6" t="n">
        <v>22.03389830508475</v>
      </c>
      <c r="G42" s="6" t="n">
        <v>17.28389830508475</v>
      </c>
      <c r="H42" s="8" t="n">
        <v>0.7844230769230769</v>
      </c>
      <c r="I42" s="5" t="inlineStr">
        <is>
          <t>50 מ"ל GT ₪3.25 + 150 מ"ל טוניק ₪1.50</t>
        </is>
      </c>
    </row>
    <row r="43">
      <c r="A43" s="9" t="n">
        <v>38</v>
      </c>
      <c r="B43" s="10" t="inlineStr">
        <is>
          <t>צ'אי מסאלה · GT Chai Massala</t>
        </is>
      </c>
      <c r="C43" s="10" t="inlineStr">
        <is>
          <t>צ'אי מסאלה פינק טוניק</t>
        </is>
      </c>
      <c r="D43" s="11" t="n">
        <v>4.75</v>
      </c>
      <c r="E43" s="12" t="n">
        <v>24</v>
      </c>
      <c r="F43" s="11" t="n">
        <v>20.33898305084746</v>
      </c>
      <c r="G43" s="11" t="n">
        <v>15.58898305084746</v>
      </c>
      <c r="H43" s="13" t="n">
        <v>0.7664583333333334</v>
      </c>
      <c r="I43" s="10" t="inlineStr">
        <is>
          <t>50 מ"ל GT ₪3.25 + 150 מ"ל טוניק ₪1.50</t>
        </is>
      </c>
    </row>
    <row r="44">
      <c r="A44" s="4" t="n">
        <v>39</v>
      </c>
      <c r="B44" s="5" t="inlineStr">
        <is>
          <t>צ'אי מסאלה · GT Chai Massala</t>
        </is>
      </c>
      <c r="C44" s="5" t="inlineStr">
        <is>
          <t>צ'אי מסאלה ומיץ תפוזים</t>
        </is>
      </c>
      <c r="D44" s="6" t="n">
        <v>5.25</v>
      </c>
      <c r="E44" s="7" t="n">
        <v>28</v>
      </c>
      <c r="F44" s="6" t="n">
        <v>23.72881355932203</v>
      </c>
      <c r="G44" s="6" t="n">
        <v>18.47881355932203</v>
      </c>
      <c r="H44" s="8" t="n">
        <v>0.7787500000000001</v>
      </c>
      <c r="I44" s="5" t="inlineStr">
        <is>
          <t>50 מ"ל GT ₪3.25 + 150 מ"ל מיץ תפוזים ₪2.00</t>
        </is>
      </c>
    </row>
    <row r="45">
      <c r="A45" s="9" t="n">
        <v>40</v>
      </c>
      <c r="B45" s="10" t="inlineStr">
        <is>
          <t>צ'אי מסאלה קולד פואם · Chai Cold Foam</t>
        </is>
      </c>
      <c r="C45" s="10" t="inlineStr">
        <is>
          <t>צ'אי מסאלה קולד פואם וניל</t>
        </is>
      </c>
      <c r="D45" s="11" t="n">
        <v>4</v>
      </c>
      <c r="E45" s="12" t="n">
        <v>28</v>
      </c>
      <c r="F45" s="11" t="n">
        <v>23.72881355932203</v>
      </c>
      <c r="G45" s="11" t="n">
        <v>19.72881355932203</v>
      </c>
      <c r="H45" s="13" t="n">
        <v>0.8314285714285714</v>
      </c>
      <c r="I45" s="10" t="inlineStr">
        <is>
          <t>50 מ"ל GT ₪3.25 + 70 מ"ל קצף חלבי ₪0.45 + וניל ₪0.30</t>
        </is>
      </c>
    </row>
    <row r="46">
      <c r="A46" s="4" t="n">
        <v>41</v>
      </c>
      <c r="B46" s="5" t="inlineStr">
        <is>
          <t>צ'אי מסאלה קולד פואם · Chai Cold Foam</t>
        </is>
      </c>
      <c r="C46" s="5" t="inlineStr">
        <is>
          <t>צ'אי מסאלה קולד פואם פיסטוק</t>
        </is>
      </c>
      <c r="D46" s="6" t="n">
        <v>4.9</v>
      </c>
      <c r="E46" s="7" t="n">
        <v>30</v>
      </c>
      <c r="F46" s="6" t="n">
        <v>25.42372881355932</v>
      </c>
      <c r="G46" s="6" t="n">
        <v>20.52372881355932</v>
      </c>
      <c r="H46" s="8" t="n">
        <v>0.8072666666666667</v>
      </c>
      <c r="I46" s="5" t="inlineStr">
        <is>
          <t>50 מ"ל GT ₪3.25 + 70 מ"ל קצף חלבי ₪0.45 + פיסטוק ₪1.20</t>
        </is>
      </c>
    </row>
    <row r="47">
      <c r="A47" s="9" t="n">
        <v>42</v>
      </c>
      <c r="B47" s="10" t="inlineStr">
        <is>
          <t>צ'אי מסאלה קולד פואם · Chai Cold Foam</t>
        </is>
      </c>
      <c r="C47" s="10" t="inlineStr">
        <is>
          <t>צ'אי תאילנדי קוקוס קולד פואם</t>
        </is>
      </c>
      <c r="D47" s="11" t="n">
        <v>4.9</v>
      </c>
      <c r="E47" s="12" t="n">
        <v>32</v>
      </c>
      <c r="F47" s="11" t="n">
        <v>27.11864406779661</v>
      </c>
      <c r="G47" s="11" t="n">
        <v>22.21864406779661</v>
      </c>
      <c r="H47" s="13" t="n">
        <v>0.8193124999999999</v>
      </c>
      <c r="I47" s="10" t="inlineStr">
        <is>
          <t>50 מ"ל GT ₪3.25 + 150 מ"ל מי קוקוס ₪1.50 + 70 מ"ל קרם קוקוס ₪0.15</t>
        </is>
      </c>
    </row>
    <row r="48">
      <c r="A48" s="4" t="n">
        <v>43</v>
      </c>
      <c r="B48" s="5" t="inlineStr">
        <is>
          <t>צ'אי מסאלה קולד פואם · Chai Cold Foam</t>
        </is>
      </c>
      <c r="C48" s="5" t="inlineStr">
        <is>
          <t>צ'אי מסאלה קולד פואם בננה</t>
        </is>
      </c>
      <c r="D48" s="6" t="n">
        <v>4.2</v>
      </c>
      <c r="E48" s="7" t="n">
        <v>31</v>
      </c>
      <c r="F48" s="6" t="n">
        <v>26.27118644067797</v>
      </c>
      <c r="G48" s="6" t="n">
        <v>22.07118644067797</v>
      </c>
      <c r="H48" s="8" t="n">
        <v>0.8401290322580646</v>
      </c>
      <c r="I48" s="5" t="inlineStr">
        <is>
          <t>50 מ"ל GT ₪3.25 + 70 מ"ל קצף חלבי ₪0.45 + בננה ₪0.50</t>
        </is>
      </c>
    </row>
    <row r="49">
      <c r="A49" s="9" t="n">
        <v>44</v>
      </c>
      <c r="B49" s="10" t="inlineStr">
        <is>
          <t>אובה · Ube</t>
        </is>
      </c>
      <c r="C49" s="10" t="inlineStr">
        <is>
          <t>אייס אובה תות</t>
        </is>
      </c>
      <c r="D49" s="11" t="n">
        <v>5.22</v>
      </c>
      <c r="E49" s="12" t="n">
        <v>30</v>
      </c>
      <c r="F49" s="11" t="n">
        <v>25.42372881355932</v>
      </c>
      <c r="G49" s="11" t="n">
        <v>20.20372881355932</v>
      </c>
      <c r="H49" s="13" t="n">
        <v>0.7946800000000001</v>
      </c>
      <c r="I49" s="10" t="inlineStr">
        <is>
          <t>אובה 2 גר' ₪0.70 + 233 מ"ל חלב ₪1.87 + 70 מ"ל קצף חלבי ₪0.45 + 40 מ"ל מחית תות ₪2.20</t>
        </is>
      </c>
    </row>
    <row r="50">
      <c r="A50" s="4" t="n">
        <v>45</v>
      </c>
      <c r="B50" s="5" t="inlineStr">
        <is>
          <t>אובה · Ube</t>
        </is>
      </c>
      <c r="C50" s="5" t="inlineStr">
        <is>
          <t>אייס אובה מנגו</t>
        </is>
      </c>
      <c r="D50" s="6" t="n">
        <v>5.22</v>
      </c>
      <c r="E50" s="7" t="n">
        <v>30</v>
      </c>
      <c r="F50" s="6" t="n">
        <v>25.42372881355932</v>
      </c>
      <c r="G50" s="6" t="n">
        <v>20.20372881355932</v>
      </c>
      <c r="H50" s="8" t="n">
        <v>0.7946800000000001</v>
      </c>
      <c r="I50" s="5" t="inlineStr">
        <is>
          <t>אובה 2 גר' ₪0.70 + 233 מ"ל חלב ₪1.87 + 70 מ"ל קצף חלבי ₪0.45 + 40 מ"ל מנגו ₪2.20</t>
        </is>
      </c>
    </row>
    <row r="51">
      <c r="A51" s="9" t="n">
        <v>46</v>
      </c>
      <c r="B51" s="10" t="inlineStr">
        <is>
          <t>אובה · Ube</t>
        </is>
      </c>
      <c r="C51" s="10" t="inlineStr">
        <is>
          <t>אייס אובה אפרסק</t>
        </is>
      </c>
      <c r="D51" s="11" t="n">
        <v>5.22</v>
      </c>
      <c r="E51" s="12" t="n">
        <v>30</v>
      </c>
      <c r="F51" s="11" t="n">
        <v>25.42372881355932</v>
      </c>
      <c r="G51" s="11" t="n">
        <v>20.20372881355932</v>
      </c>
      <c r="H51" s="13" t="n">
        <v>0.7946800000000001</v>
      </c>
      <c r="I51" s="10" t="inlineStr">
        <is>
          <t>אובה 2 גר' ₪0.70 + 233 מ"ל חלב ₪1.87 + 70 מ"ל קצף חלבי ₪0.45 + 40 מ"ל מחית אפרסק ₪2.20</t>
        </is>
      </c>
    </row>
    <row r="52">
      <c r="A52" s="4" t="n">
        <v>47</v>
      </c>
      <c r="B52" s="5" t="inlineStr">
        <is>
          <t>אובה · Ube</t>
        </is>
      </c>
      <c r="C52" s="5" t="inlineStr">
        <is>
          <t>אייס אובה מסאלה</t>
        </is>
      </c>
      <c r="D52" s="6" t="n">
        <v>6.27</v>
      </c>
      <c r="E52" s="7" t="n">
        <v>31</v>
      </c>
      <c r="F52" s="6" t="n">
        <v>26.27118644067797</v>
      </c>
      <c r="G52" s="6" t="n">
        <v>20.00118644067797</v>
      </c>
      <c r="H52" s="8" t="n">
        <v>0.7613354838709678</v>
      </c>
      <c r="I52" s="5" t="inlineStr">
        <is>
          <t>אובה 2 גר' ₪0.70 + 233 מ"ל חלב ₪1.87 + 70 מ"ל קצף חלבי ₪0.45 + 50 מ"ל GT מסאלה ₪3.25</t>
        </is>
      </c>
    </row>
    <row r="53">
      <c r="A53" s="9" t="n">
        <v>48</v>
      </c>
      <c r="B53" s="10" t="inlineStr">
        <is>
          <t>אובה · Ube</t>
        </is>
      </c>
      <c r="C53" s="10" t="inlineStr">
        <is>
          <t>אייס אובה מאצ'ה</t>
        </is>
      </c>
      <c r="D53" s="11" t="n">
        <v>4.96</v>
      </c>
      <c r="E53" s="12" t="n">
        <v>28</v>
      </c>
      <c r="F53" s="11" t="n">
        <v>23.72881355932203</v>
      </c>
      <c r="G53" s="11" t="n">
        <v>18.76881355932203</v>
      </c>
      <c r="H53" s="13" t="n">
        <v>0.7909714285714285</v>
      </c>
      <c r="I53" s="10" t="inlineStr">
        <is>
          <t>אובה 2 גר' ₪0.70 + 233 מ"ל חלב ₪1.87 + 70 מ"ל קצף חלבי ₪0.45 + מאצ'ה 1.8 גר' ₪1.94</t>
        </is>
      </c>
    </row>
    <row r="55">
      <c r="C55" s="14" t="inlineStr">
        <is>
          <t>ממוצע</t>
        </is>
      </c>
      <c r="D55" s="15">
        <f>AVERAGE(D6:D53)</f>
        <v/>
      </c>
      <c r="E55" s="15">
        <f>AVERAGE(E6:E53)</f>
        <v/>
      </c>
      <c r="F55" s="15">
        <f>AVERAGE(F6:F53)</f>
        <v/>
      </c>
      <c r="G55" s="15">
        <f>AVERAGE(G6:G53)</f>
        <v/>
      </c>
      <c r="H55" s="16">
        <f>AVERAGE(H6:H53)</f>
        <v/>
      </c>
    </row>
  </sheetData>
  <autoFilter ref="A5:I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40" customWidth="1" min="3" max="3"/>
  </cols>
  <sheetData>
    <row r="1">
      <c r="A1" s="17" t="inlineStr">
        <is>
          <t>מחירון רכיבים והנחות המודל</t>
        </is>
      </c>
    </row>
    <row r="2">
      <c r="A2" s="2" t="inlineStr">
        <is>
          <t>מקור: GT_Summer_Menu_2026.xls (מחירון הרכיבים של Tom) + הנחות מסומנות למטה</t>
        </is>
      </c>
    </row>
    <row r="3">
      <c r="A3" s="18" t="n"/>
      <c r="B3" s="18" t="n"/>
      <c r="C3" s="18" t="n"/>
    </row>
    <row r="4">
      <c r="A4" s="10" t="inlineStr">
        <is>
          <t>תמצית GT (חליטות)</t>
        </is>
      </c>
      <c r="B4" s="10" t="inlineStr">
        <is>
          <t>₪65 / ליטר</t>
        </is>
      </c>
      <c r="C4" s="10" t="inlineStr">
        <is>
          <t>מחירון</t>
        </is>
      </c>
    </row>
    <row r="5">
      <c r="A5" s="5" t="inlineStr">
        <is>
          <t>מחית פרי ODK</t>
        </is>
      </c>
      <c r="B5" s="5" t="inlineStr">
        <is>
          <t>₪55 / ליטר</t>
        </is>
      </c>
      <c r="C5" s="5" t="inlineStr">
        <is>
          <t>מחירון</t>
        </is>
      </c>
    </row>
    <row r="6">
      <c r="A6" s="10" t="inlineStr">
        <is>
          <t>אבקת מאצ'ה</t>
        </is>
      </c>
      <c r="B6" s="10" t="inlineStr">
        <is>
          <t>₪1,080 / ק״ג</t>
        </is>
      </c>
      <c r="C6" s="10" t="inlineStr">
        <is>
          <t>מחירון</t>
        </is>
      </c>
    </row>
    <row r="7">
      <c r="A7" s="5" t="inlineStr">
        <is>
          <t>אבקת אובה</t>
        </is>
      </c>
      <c r="B7" s="5" t="inlineStr">
        <is>
          <t>₪350 / ק״ג</t>
        </is>
      </c>
      <c r="C7" s="5" t="inlineStr">
        <is>
          <t>מחירון</t>
        </is>
      </c>
    </row>
    <row r="8">
      <c r="A8" s="10" t="inlineStr">
        <is>
          <t>לימונדה</t>
        </is>
      </c>
      <c r="B8" s="10" t="inlineStr">
        <is>
          <t>₪3 / ליטר</t>
        </is>
      </c>
      <c r="C8" s="10" t="inlineStr">
        <is>
          <t>מחירון</t>
        </is>
      </c>
    </row>
    <row r="9">
      <c r="A9" s="5" t="inlineStr">
        <is>
          <t>קרם קוקוס</t>
        </is>
      </c>
      <c r="B9" s="5" t="inlineStr">
        <is>
          <t>₪14 / ליטר</t>
        </is>
      </c>
      <c r="C9" s="5" t="inlineStr">
        <is>
          <t>מחירון</t>
        </is>
      </c>
    </row>
    <row r="10">
      <c r="A10" s="10" t="inlineStr">
        <is>
          <t>מי קוקוס</t>
        </is>
      </c>
      <c r="B10" s="10" t="inlineStr">
        <is>
          <t>₪10 / ליטר</t>
        </is>
      </c>
      <c r="C10" s="10" t="inlineStr">
        <is>
          <t>מחירון</t>
        </is>
      </c>
    </row>
    <row r="11">
      <c r="A11" s="5" t="inlineStr">
        <is>
          <t>חלב</t>
        </is>
      </c>
      <c r="B11" s="5" t="inlineStr">
        <is>
          <t>₪8 / ליטר</t>
        </is>
      </c>
      <c r="C11" s="5" t="inlineStr">
        <is>
          <t>מחירון</t>
        </is>
      </c>
    </row>
    <row r="12">
      <c r="A12" s="10" t="inlineStr">
        <is>
          <t>מנת אספרסו</t>
        </is>
      </c>
      <c r="B12" s="10" t="inlineStr">
        <is>
          <t>₪1.00</t>
        </is>
      </c>
      <c r="C12" s="10" t="inlineStr">
        <is>
          <t>מחירון</t>
        </is>
      </c>
    </row>
    <row r="13">
      <c r="A13" s="5" t="inlineStr">
        <is>
          <t>מי טוניק (150 מ״ל)</t>
        </is>
      </c>
      <c r="B13" s="5" t="inlineStr">
        <is>
          <t>₪1.50</t>
        </is>
      </c>
      <c r="C13" s="5" t="inlineStr">
        <is>
          <t>הנחה — הזול בשוק</t>
        </is>
      </c>
    </row>
    <row r="14">
      <c r="A14" s="10" t="inlineStr">
        <is>
          <t>מיץ תפוזים טרי (150 מ״ל)</t>
        </is>
      </c>
      <c r="B14" s="10" t="inlineStr">
        <is>
          <t>₪2.00</t>
        </is>
      </c>
      <c r="C14" s="10" t="inlineStr">
        <is>
          <t>הנחה — הזול בשוק</t>
        </is>
      </c>
    </row>
    <row r="15">
      <c r="A15" s="5" t="inlineStr">
        <is>
          <t>מיץ תפוחים</t>
        </is>
      </c>
      <c r="B15" s="5" t="inlineStr">
        <is>
          <t>₪7 / ליטר</t>
        </is>
      </c>
      <c r="C15" s="5" t="inlineStr">
        <is>
          <t>הנחה — הזול בשוק</t>
        </is>
      </c>
    </row>
    <row r="16">
      <c r="A16" s="10" t="inlineStr">
        <is>
          <t>מי ליצ׳י</t>
        </is>
      </c>
      <c r="B16" s="10" t="inlineStr">
        <is>
          <t>₪12 / ליטר</t>
        </is>
      </c>
      <c r="C16" s="10" t="inlineStr">
        <is>
          <t>הנחה — הזול בשוק</t>
        </is>
      </c>
    </row>
    <row r="17">
      <c r="A17" s="5" t="inlineStr">
        <is>
          <t>סירופ אגבה</t>
        </is>
      </c>
      <c r="B17" s="5" t="inlineStr">
        <is>
          <t>₪30 / ליטר</t>
        </is>
      </c>
      <c r="C17" s="5" t="inlineStr">
        <is>
          <t>הנחה</t>
        </is>
      </c>
    </row>
    <row r="18">
      <c r="A18" s="10" t="inlineStr">
        <is>
          <t>שמנת 38%</t>
        </is>
      </c>
      <c r="B18" s="10" t="inlineStr">
        <is>
          <t>₪22 / ליטר</t>
        </is>
      </c>
      <c r="C18" s="10" t="inlineStr">
        <is>
          <t>הנחה</t>
        </is>
      </c>
    </row>
    <row r="19">
      <c r="A19" s="5" t="inlineStr">
        <is>
          <t>קצף חלב מוכן</t>
        </is>
      </c>
      <c r="B19" s="5" t="inlineStr">
        <is>
          <t>₪6.45 / ליטר</t>
        </is>
      </c>
      <c r="C19" s="5" t="inlineStr">
        <is>
          <t>מחושב · הקצפה מכפילה נפח (÷2)</t>
        </is>
      </c>
    </row>
    <row r="20">
      <c r="A20" s="10" t="inlineStr">
        <is>
          <t>קצף קוקוס מוכן</t>
        </is>
      </c>
      <c r="B20" s="10" t="inlineStr">
        <is>
          <t>₪2.10 / ליטר</t>
        </is>
      </c>
      <c r="C20" s="10" t="inlineStr">
        <is>
          <t>מחושב · הקצפה מכפילה נפח (÷2)</t>
        </is>
      </c>
    </row>
    <row r="21">
      <c r="A21" s="5" t="inlineStr">
        <is>
          <t>כוס</t>
        </is>
      </c>
      <c r="B21" s="5" t="inlineStr">
        <is>
          <t>350 מ״ל</t>
        </is>
      </c>
      <c r="C21" s="5" t="inlineStr">
        <is>
          <t>הכוס הקטנה</t>
        </is>
      </c>
    </row>
    <row r="22">
      <c r="A22" s="10" t="inlineStr">
        <is>
          <t>מנת בסיס (⅔ כוס)</t>
        </is>
      </c>
      <c r="B22" s="10" t="inlineStr">
        <is>
          <t>233 מ״ל</t>
        </is>
      </c>
      <c r="C22" s="10" t="inlineStr">
        <is>
          <t>חישוב</t>
        </is>
      </c>
    </row>
    <row r="23">
      <c r="A23" s="5" t="inlineStr">
        <is>
          <t>מנת קצף</t>
        </is>
      </c>
      <c r="B23" s="5" t="inlineStr">
        <is>
          <t>70 מ״ל</t>
        </is>
      </c>
      <c r="C23" s="5" t="inlineStr">
        <is>
          <t>חישוב</t>
        </is>
      </c>
    </row>
    <row r="24">
      <c r="A24" s="10" t="inlineStr">
        <is>
          <t>גרניש / קרח / מים / סודה / אריזה / עבודה</t>
        </is>
      </c>
      <c r="B24" s="10" t="inlineStr">
        <is>
          <t>לא נכלל</t>
        </is>
      </c>
      <c r="C24" s="10" t="inlineStr">
        <is>
          <t>החלטת Tom 2026-08-27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2026-08-27T07:59:50Z</dcterms:created>
  <dcterms:modified xsi:type="dcterms:W3CDTF">2026-08-27T07:59:50Z</dcterms:modified>
</cp:coreProperties>
</file>